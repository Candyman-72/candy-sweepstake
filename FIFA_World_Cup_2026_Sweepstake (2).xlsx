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raig.candy/Downloads/"/>
    </mc:Choice>
  </mc:AlternateContent>
  <xr:revisionPtr revIDLastSave="0" documentId="13_ncr:1_{19E8633D-2584-1343-9B39-433EFCE41CA5}" xr6:coauthVersionLast="47" xr6:coauthVersionMax="47" xr10:uidLastSave="{00000000-0000-0000-0000-000000000000}"/>
  <bookViews>
    <workbookView xWindow="0" yWindow="660" windowWidth="25140" windowHeight="13420" tabRatio="500" activeTab="1" xr2:uid="{00000000-000D-0000-FFFF-FFFF00000000}"/>
  </bookViews>
  <sheets>
    <sheet name="Leaderboard" sheetId="1" r:id="rId1"/>
    <sheet name="Team Allocations" sheetId="2" r:id="rId2"/>
    <sheet name="Group Stage" sheetId="3" r:id="rId3"/>
    <sheet name="Knockout &amp; Winner" sheetId="4" r:id="rId4"/>
    <sheet name="Participating Team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4" l="1"/>
  <c r="B59" i="4"/>
  <c r="G55" i="4"/>
  <c r="B9" i="4" s="1"/>
  <c r="G9" i="4" s="1"/>
  <c r="E55" i="4"/>
  <c r="B55" i="4"/>
  <c r="G51" i="4"/>
  <c r="E59" i="4" s="1"/>
  <c r="G50" i="4"/>
  <c r="B50" i="4"/>
  <c r="G46" i="4"/>
  <c r="E51" i="4" s="1"/>
  <c r="E46" i="4"/>
  <c r="B46" i="4"/>
  <c r="G45" i="4"/>
  <c r="B51" i="4" s="1"/>
  <c r="G44" i="4"/>
  <c r="E50" i="4" s="1"/>
  <c r="B44" i="4"/>
  <c r="G43" i="4"/>
  <c r="B43" i="4"/>
  <c r="G39" i="4"/>
  <c r="B39" i="4"/>
  <c r="G38" i="4"/>
  <c r="E38" i="4"/>
  <c r="G37" i="4"/>
  <c r="E45" i="4" s="1"/>
  <c r="G36" i="4"/>
  <c r="B45" i="4" s="1"/>
  <c r="E36" i="4"/>
  <c r="G35" i="4"/>
  <c r="E44" i="4" s="1"/>
  <c r="E35" i="4"/>
  <c r="B35" i="4"/>
  <c r="G34" i="4"/>
  <c r="G33" i="4"/>
  <c r="E43" i="4" s="1"/>
  <c r="B33" i="4"/>
  <c r="G32" i="4"/>
  <c r="G28" i="4"/>
  <c r="E39" i="4" s="1"/>
  <c r="G27" i="4"/>
  <c r="G26" i="4"/>
  <c r="G25" i="4"/>
  <c r="B38" i="4" s="1"/>
  <c r="G24" i="4"/>
  <c r="E37" i="4" s="1"/>
  <c r="G23" i="4"/>
  <c r="B37" i="4" s="1"/>
  <c r="G22" i="4"/>
  <c r="G21" i="4"/>
  <c r="B36" i="4" s="1"/>
  <c r="G20" i="4"/>
  <c r="G19" i="4"/>
  <c r="G18" i="4"/>
  <c r="E34" i="4" s="1"/>
  <c r="G17" i="4"/>
  <c r="B34" i="4" s="1"/>
  <c r="G16" i="4"/>
  <c r="G15" i="4"/>
  <c r="G14" i="4"/>
  <c r="E32" i="4" s="1"/>
  <c r="G13" i="4"/>
  <c r="B32" i="4" s="1"/>
  <c r="G8" i="4"/>
  <c r="B8" i="4"/>
  <c r="G7" i="4"/>
  <c r="B7" i="4"/>
  <c r="G6" i="4"/>
  <c r="B6" i="4"/>
  <c r="Q110" i="3"/>
  <c r="M110" i="3"/>
  <c r="Q109" i="3"/>
  <c r="M109" i="3"/>
  <c r="Q108" i="3"/>
  <c r="M108" i="3"/>
  <c r="G108" i="3"/>
  <c r="F108" i="3"/>
  <c r="H108" i="3" s="1"/>
  <c r="E108" i="3"/>
  <c r="D108" i="3"/>
  <c r="C108" i="3"/>
  <c r="I108" i="3" s="1"/>
  <c r="Q107" i="3"/>
  <c r="M107" i="3"/>
  <c r="I107" i="3"/>
  <c r="G107" i="3"/>
  <c r="F107" i="3"/>
  <c r="H107" i="3" s="1"/>
  <c r="E107" i="3"/>
  <c r="D107" i="3"/>
  <c r="C107" i="3"/>
  <c r="B107" i="3"/>
  <c r="Q106" i="3"/>
  <c r="M106" i="3"/>
  <c r="G106" i="3"/>
  <c r="F106" i="3"/>
  <c r="H106" i="3" s="1"/>
  <c r="E106" i="3"/>
  <c r="D106" i="3"/>
  <c r="C106" i="3"/>
  <c r="I106" i="3" s="1"/>
  <c r="K106" i="3" s="1"/>
  <c r="Q105" i="3"/>
  <c r="M105" i="3"/>
  <c r="I105" i="3"/>
  <c r="K105" i="3" s="1"/>
  <c r="G105" i="3"/>
  <c r="F105" i="3"/>
  <c r="H105" i="3" s="1"/>
  <c r="E105" i="3"/>
  <c r="D105" i="3"/>
  <c r="C105" i="3"/>
  <c r="B105" i="3"/>
  <c r="Q101" i="3"/>
  <c r="M101" i="3"/>
  <c r="Q100" i="3"/>
  <c r="M100" i="3"/>
  <c r="Q99" i="3"/>
  <c r="M99" i="3"/>
  <c r="I99" i="3"/>
  <c r="G99" i="3"/>
  <c r="F99" i="3"/>
  <c r="H99" i="3" s="1"/>
  <c r="E99" i="3"/>
  <c r="D99" i="3"/>
  <c r="C99" i="3"/>
  <c r="B99" i="3"/>
  <c r="Q98" i="3"/>
  <c r="M98" i="3"/>
  <c r="G98" i="3"/>
  <c r="F98" i="3"/>
  <c r="H98" i="3" s="1"/>
  <c r="E98" i="3"/>
  <c r="D98" i="3"/>
  <c r="C98" i="3"/>
  <c r="I98" i="3" s="1"/>
  <c r="K98" i="3" s="1"/>
  <c r="Q97" i="3"/>
  <c r="M97" i="3"/>
  <c r="I97" i="3"/>
  <c r="G97" i="3"/>
  <c r="F97" i="3"/>
  <c r="H97" i="3" s="1"/>
  <c r="E97" i="3"/>
  <c r="D97" i="3"/>
  <c r="C97" i="3"/>
  <c r="B97" i="3"/>
  <c r="Q96" i="3"/>
  <c r="M96" i="3"/>
  <c r="G96" i="3"/>
  <c r="F96" i="3"/>
  <c r="H96" i="3" s="1"/>
  <c r="E96" i="3"/>
  <c r="D96" i="3"/>
  <c r="C96" i="3"/>
  <c r="I96" i="3" s="1"/>
  <c r="K96" i="3" s="1"/>
  <c r="Q92" i="3"/>
  <c r="M92" i="3"/>
  <c r="Q91" i="3"/>
  <c r="M91" i="3"/>
  <c r="Q90" i="3"/>
  <c r="M90" i="3"/>
  <c r="G90" i="3"/>
  <c r="F90" i="3"/>
  <c r="H90" i="3" s="1"/>
  <c r="E90" i="3"/>
  <c r="D90" i="3"/>
  <c r="C90" i="3"/>
  <c r="I90" i="3" s="1"/>
  <c r="Q89" i="3"/>
  <c r="M89" i="3"/>
  <c r="I89" i="3"/>
  <c r="G89" i="3"/>
  <c r="F89" i="3"/>
  <c r="H89" i="3" s="1"/>
  <c r="E89" i="3"/>
  <c r="D89" i="3"/>
  <c r="C89" i="3"/>
  <c r="B89" i="3"/>
  <c r="Q88" i="3"/>
  <c r="M88" i="3"/>
  <c r="G88" i="3"/>
  <c r="F88" i="3"/>
  <c r="H88" i="3" s="1"/>
  <c r="E88" i="3"/>
  <c r="D88" i="3"/>
  <c r="C88" i="3"/>
  <c r="I88" i="3" s="1"/>
  <c r="K88" i="3" s="1"/>
  <c r="Q87" i="3"/>
  <c r="M87" i="3"/>
  <c r="I87" i="3"/>
  <c r="K87" i="3" s="1"/>
  <c r="G87" i="3"/>
  <c r="F87" i="3"/>
  <c r="H87" i="3" s="1"/>
  <c r="E87" i="3"/>
  <c r="D87" i="3"/>
  <c r="C87" i="3"/>
  <c r="B87" i="3"/>
  <c r="Q83" i="3"/>
  <c r="M83" i="3"/>
  <c r="Q82" i="3"/>
  <c r="M82" i="3"/>
  <c r="Q81" i="3"/>
  <c r="M81" i="3"/>
  <c r="I81" i="3"/>
  <c r="G81" i="3"/>
  <c r="F81" i="3"/>
  <c r="H81" i="3" s="1"/>
  <c r="E81" i="3"/>
  <c r="D81" i="3"/>
  <c r="C81" i="3"/>
  <c r="B81" i="3"/>
  <c r="Q80" i="3"/>
  <c r="M80" i="3"/>
  <c r="G80" i="3"/>
  <c r="F80" i="3"/>
  <c r="H80" i="3" s="1"/>
  <c r="E80" i="3"/>
  <c r="D80" i="3"/>
  <c r="C80" i="3"/>
  <c r="I80" i="3" s="1"/>
  <c r="Q79" i="3"/>
  <c r="M79" i="3"/>
  <c r="I79" i="3"/>
  <c r="G79" i="3"/>
  <c r="F79" i="3"/>
  <c r="H79" i="3" s="1"/>
  <c r="E79" i="3"/>
  <c r="D79" i="3"/>
  <c r="C79" i="3"/>
  <c r="B79" i="3"/>
  <c r="Q78" i="3"/>
  <c r="M78" i="3"/>
  <c r="G78" i="3"/>
  <c r="F78" i="3"/>
  <c r="H78" i="3" s="1"/>
  <c r="E78" i="3"/>
  <c r="D78" i="3"/>
  <c r="C78" i="3"/>
  <c r="I78" i="3" s="1"/>
  <c r="K78" i="3" s="1"/>
  <c r="Q74" i="3"/>
  <c r="M74" i="3"/>
  <c r="Q73" i="3"/>
  <c r="M73" i="3"/>
  <c r="Q72" i="3"/>
  <c r="M72" i="3"/>
  <c r="G72" i="3"/>
  <c r="F72" i="3"/>
  <c r="H72" i="3" s="1"/>
  <c r="E72" i="3"/>
  <c r="D72" i="3"/>
  <c r="C72" i="3"/>
  <c r="I72" i="3" s="1"/>
  <c r="Q71" i="3"/>
  <c r="M71" i="3"/>
  <c r="I71" i="3"/>
  <c r="G71" i="3"/>
  <c r="F71" i="3"/>
  <c r="H71" i="3" s="1"/>
  <c r="E71" i="3"/>
  <c r="D71" i="3"/>
  <c r="C71" i="3"/>
  <c r="B71" i="3"/>
  <c r="Q70" i="3"/>
  <c r="M70" i="3"/>
  <c r="G70" i="3"/>
  <c r="F70" i="3"/>
  <c r="H70" i="3" s="1"/>
  <c r="E70" i="3"/>
  <c r="D70" i="3"/>
  <c r="C70" i="3"/>
  <c r="I70" i="3" s="1"/>
  <c r="K70" i="3" s="1"/>
  <c r="Q69" i="3"/>
  <c r="M69" i="3"/>
  <c r="I69" i="3"/>
  <c r="K69" i="3" s="1"/>
  <c r="G69" i="3"/>
  <c r="F69" i="3"/>
  <c r="H69" i="3" s="1"/>
  <c r="E69" i="3"/>
  <c r="D69" i="3"/>
  <c r="C69" i="3"/>
  <c r="B69" i="3"/>
  <c r="Q65" i="3"/>
  <c r="M65" i="3"/>
  <c r="Q64" i="3"/>
  <c r="M64" i="3"/>
  <c r="Q63" i="3"/>
  <c r="M63" i="3"/>
  <c r="I63" i="3"/>
  <c r="G63" i="3"/>
  <c r="F63" i="3"/>
  <c r="H63" i="3" s="1"/>
  <c r="E63" i="3"/>
  <c r="D63" i="3"/>
  <c r="C63" i="3"/>
  <c r="B63" i="3"/>
  <c r="Q62" i="3"/>
  <c r="M62" i="3"/>
  <c r="G62" i="3"/>
  <c r="F62" i="3"/>
  <c r="H62" i="3" s="1"/>
  <c r="E62" i="3"/>
  <c r="D62" i="3"/>
  <c r="C62" i="3"/>
  <c r="I62" i="3" s="1"/>
  <c r="K62" i="3" s="1"/>
  <c r="Q61" i="3"/>
  <c r="M61" i="3"/>
  <c r="I61" i="3"/>
  <c r="G61" i="3"/>
  <c r="F61" i="3"/>
  <c r="H61" i="3" s="1"/>
  <c r="E61" i="3"/>
  <c r="D61" i="3"/>
  <c r="C61" i="3"/>
  <c r="B61" i="3"/>
  <c r="Q60" i="3"/>
  <c r="M60" i="3"/>
  <c r="G60" i="3"/>
  <c r="F60" i="3"/>
  <c r="H60" i="3" s="1"/>
  <c r="E60" i="3"/>
  <c r="D60" i="3"/>
  <c r="C60" i="3"/>
  <c r="I60" i="3" s="1"/>
  <c r="K60" i="3" s="1"/>
  <c r="Q56" i="3"/>
  <c r="M56" i="3"/>
  <c r="Q55" i="3"/>
  <c r="M55" i="3"/>
  <c r="Q54" i="3"/>
  <c r="M54" i="3"/>
  <c r="G54" i="3"/>
  <c r="F54" i="3"/>
  <c r="H54" i="3" s="1"/>
  <c r="E54" i="3"/>
  <c r="D54" i="3"/>
  <c r="C54" i="3"/>
  <c r="I54" i="3" s="1"/>
  <c r="Q53" i="3"/>
  <c r="M53" i="3"/>
  <c r="I53" i="3"/>
  <c r="G53" i="3"/>
  <c r="F53" i="3"/>
  <c r="H53" i="3" s="1"/>
  <c r="E53" i="3"/>
  <c r="D53" i="3"/>
  <c r="C53" i="3"/>
  <c r="B53" i="3"/>
  <c r="Q52" i="3"/>
  <c r="M52" i="3"/>
  <c r="G52" i="3"/>
  <c r="F52" i="3"/>
  <c r="H52" i="3" s="1"/>
  <c r="E52" i="3"/>
  <c r="D52" i="3"/>
  <c r="C52" i="3"/>
  <c r="I52" i="3" s="1"/>
  <c r="K52" i="3" s="1"/>
  <c r="Q51" i="3"/>
  <c r="M51" i="3"/>
  <c r="I51" i="3"/>
  <c r="K51" i="3" s="1"/>
  <c r="G51" i="3"/>
  <c r="F51" i="3"/>
  <c r="H51" i="3" s="1"/>
  <c r="E51" i="3"/>
  <c r="D51" i="3"/>
  <c r="C51" i="3"/>
  <c r="B51" i="3"/>
  <c r="Q47" i="3"/>
  <c r="M47" i="3"/>
  <c r="Q46" i="3"/>
  <c r="M46" i="3"/>
  <c r="Q45" i="3"/>
  <c r="M45" i="3"/>
  <c r="I45" i="3"/>
  <c r="G45" i="3"/>
  <c r="F45" i="3"/>
  <c r="H45" i="3" s="1"/>
  <c r="E45" i="3"/>
  <c r="D45" i="3"/>
  <c r="C45" i="3"/>
  <c r="B45" i="3"/>
  <c r="Q44" i="3"/>
  <c r="M44" i="3"/>
  <c r="G44" i="3"/>
  <c r="F44" i="3"/>
  <c r="H44" i="3" s="1"/>
  <c r="E44" i="3"/>
  <c r="D44" i="3"/>
  <c r="C44" i="3"/>
  <c r="I44" i="3" s="1"/>
  <c r="Q43" i="3"/>
  <c r="M43" i="3"/>
  <c r="I43" i="3"/>
  <c r="K43" i="3" s="1"/>
  <c r="G43" i="3"/>
  <c r="F43" i="3"/>
  <c r="H43" i="3" s="1"/>
  <c r="E43" i="3"/>
  <c r="D43" i="3"/>
  <c r="C43" i="3"/>
  <c r="B43" i="3"/>
  <c r="Q42" i="3"/>
  <c r="M42" i="3"/>
  <c r="G42" i="3"/>
  <c r="F42" i="3"/>
  <c r="H42" i="3" s="1"/>
  <c r="E42" i="3"/>
  <c r="D42" i="3"/>
  <c r="C42" i="3"/>
  <c r="I42" i="3" s="1"/>
  <c r="K42" i="3" s="1"/>
  <c r="Q38" i="3"/>
  <c r="M38" i="3"/>
  <c r="Q37" i="3"/>
  <c r="M37" i="3"/>
  <c r="Q36" i="3"/>
  <c r="M36" i="3"/>
  <c r="G36" i="3"/>
  <c r="F36" i="3"/>
  <c r="H36" i="3" s="1"/>
  <c r="E36" i="3"/>
  <c r="D36" i="3"/>
  <c r="C36" i="3"/>
  <c r="I36" i="3" s="1"/>
  <c r="Q35" i="3"/>
  <c r="M35" i="3"/>
  <c r="I35" i="3"/>
  <c r="G35" i="3"/>
  <c r="F35" i="3"/>
  <c r="H35" i="3" s="1"/>
  <c r="E35" i="3"/>
  <c r="D35" i="3"/>
  <c r="C35" i="3"/>
  <c r="B35" i="3"/>
  <c r="Q34" i="3"/>
  <c r="M34" i="3"/>
  <c r="G34" i="3"/>
  <c r="F34" i="3"/>
  <c r="H34" i="3" s="1"/>
  <c r="E34" i="3"/>
  <c r="D34" i="3"/>
  <c r="C34" i="3"/>
  <c r="I34" i="3" s="1"/>
  <c r="K34" i="3" s="1"/>
  <c r="Q33" i="3"/>
  <c r="M33" i="3"/>
  <c r="I33" i="3"/>
  <c r="K33" i="3" s="1"/>
  <c r="G33" i="3"/>
  <c r="F33" i="3"/>
  <c r="H33" i="3" s="1"/>
  <c r="E33" i="3"/>
  <c r="D33" i="3"/>
  <c r="C33" i="3"/>
  <c r="B33" i="3"/>
  <c r="Q29" i="3"/>
  <c r="M29" i="3"/>
  <c r="Q28" i="3"/>
  <c r="M28" i="3"/>
  <c r="Q27" i="3"/>
  <c r="M27" i="3"/>
  <c r="I27" i="3"/>
  <c r="G27" i="3"/>
  <c r="F27" i="3"/>
  <c r="H27" i="3" s="1"/>
  <c r="E27" i="3"/>
  <c r="D27" i="3"/>
  <c r="C27" i="3"/>
  <c r="B27" i="3"/>
  <c r="Q26" i="3"/>
  <c r="M26" i="3"/>
  <c r="G26" i="3"/>
  <c r="F26" i="3"/>
  <c r="H26" i="3" s="1"/>
  <c r="E26" i="3"/>
  <c r="D26" i="3"/>
  <c r="C26" i="3"/>
  <c r="I26" i="3" s="1"/>
  <c r="K26" i="3" s="1"/>
  <c r="Q25" i="3"/>
  <c r="M25" i="3"/>
  <c r="I25" i="3"/>
  <c r="G25" i="3"/>
  <c r="F25" i="3"/>
  <c r="H25" i="3" s="1"/>
  <c r="E25" i="3"/>
  <c r="D25" i="3"/>
  <c r="C25" i="3"/>
  <c r="B25" i="3"/>
  <c r="Q24" i="3"/>
  <c r="M24" i="3"/>
  <c r="G24" i="3"/>
  <c r="F24" i="3"/>
  <c r="H24" i="3" s="1"/>
  <c r="E24" i="3"/>
  <c r="D24" i="3"/>
  <c r="C24" i="3"/>
  <c r="I24" i="3" s="1"/>
  <c r="K24" i="3" s="1"/>
  <c r="Q20" i="3"/>
  <c r="M20" i="3"/>
  <c r="Q19" i="3"/>
  <c r="M19" i="3"/>
  <c r="Q18" i="3"/>
  <c r="M18" i="3"/>
  <c r="G18" i="3"/>
  <c r="F18" i="3"/>
  <c r="H18" i="3" s="1"/>
  <c r="E18" i="3"/>
  <c r="D18" i="3"/>
  <c r="C18" i="3"/>
  <c r="I18" i="3" s="1"/>
  <c r="Q17" i="3"/>
  <c r="M17" i="3"/>
  <c r="I17" i="3"/>
  <c r="K17" i="3" s="1"/>
  <c r="G17" i="3"/>
  <c r="F17" i="3"/>
  <c r="H17" i="3" s="1"/>
  <c r="E17" i="3"/>
  <c r="D17" i="3"/>
  <c r="C17" i="3"/>
  <c r="B17" i="3"/>
  <c r="Q16" i="3"/>
  <c r="M16" i="3"/>
  <c r="G16" i="3"/>
  <c r="F16" i="3"/>
  <c r="H16" i="3" s="1"/>
  <c r="E16" i="3"/>
  <c r="D16" i="3"/>
  <c r="C16" i="3"/>
  <c r="I16" i="3" s="1"/>
  <c r="K16" i="3" s="1"/>
  <c r="Q15" i="3"/>
  <c r="M15" i="3"/>
  <c r="I15" i="3"/>
  <c r="G15" i="3"/>
  <c r="F15" i="3"/>
  <c r="E15" i="3"/>
  <c r="D15" i="3"/>
  <c r="C15" i="3"/>
  <c r="B15" i="3"/>
  <c r="Q11" i="3"/>
  <c r="M11" i="3"/>
  <c r="Q10" i="3"/>
  <c r="M10" i="3"/>
  <c r="Q9" i="3"/>
  <c r="M9" i="3"/>
  <c r="I9" i="3"/>
  <c r="N13" i="1" s="1"/>
  <c r="G9" i="3"/>
  <c r="F9" i="3"/>
  <c r="E9" i="3"/>
  <c r="D9" i="3"/>
  <c r="C9" i="3"/>
  <c r="B9" i="3" s="1"/>
  <c r="Q8" i="3"/>
  <c r="M8" i="3"/>
  <c r="G8" i="3"/>
  <c r="F8" i="3"/>
  <c r="E8" i="3"/>
  <c r="D8" i="3"/>
  <c r="C8" i="3"/>
  <c r="Q7" i="3"/>
  <c r="M7" i="3"/>
  <c r="G7" i="3"/>
  <c r="F7" i="3"/>
  <c r="H7" i="3" s="1"/>
  <c r="E7" i="3"/>
  <c r="D7" i="3"/>
  <c r="C7" i="3"/>
  <c r="I7" i="3" s="1"/>
  <c r="B7" i="3"/>
  <c r="Q6" i="3"/>
  <c r="M6" i="3"/>
  <c r="G6" i="3"/>
  <c r="F6" i="3"/>
  <c r="H6" i="3" s="1"/>
  <c r="E6" i="3"/>
  <c r="D6" i="3"/>
  <c r="C6" i="3"/>
  <c r="I10" i="2"/>
  <c r="H10" i="2"/>
  <c r="G10" i="2"/>
  <c r="F10" i="2"/>
  <c r="E10" i="2"/>
  <c r="D10" i="2"/>
  <c r="C10" i="2"/>
  <c r="B10" i="2"/>
  <c r="A68" i="1"/>
  <c r="B67" i="1"/>
  <c r="A67" i="1"/>
  <c r="A66" i="1"/>
  <c r="B65" i="1"/>
  <c r="A65" i="1"/>
  <c r="A64" i="1"/>
  <c r="B63" i="1"/>
  <c r="A63" i="1"/>
  <c r="A62" i="1"/>
  <c r="B61" i="1"/>
  <c r="A61" i="1"/>
  <c r="A60" i="1"/>
  <c r="B59" i="1"/>
  <c r="A59" i="1"/>
  <c r="A58" i="1"/>
  <c r="M57" i="1"/>
  <c r="B68" i="1" s="1"/>
  <c r="B57" i="1"/>
  <c r="A57" i="1"/>
  <c r="M56" i="1"/>
  <c r="B56" i="1"/>
  <c r="A56" i="1"/>
  <c r="N55" i="1"/>
  <c r="M55" i="1"/>
  <c r="B66" i="1" s="1"/>
  <c r="A55" i="1"/>
  <c r="M54" i="1"/>
  <c r="B54" i="1"/>
  <c r="A54" i="1"/>
  <c r="M53" i="1"/>
  <c r="B64" i="1" s="1"/>
  <c r="D53" i="1"/>
  <c r="A53" i="1"/>
  <c r="M52" i="1"/>
  <c r="B52" i="1"/>
  <c r="A52" i="1"/>
  <c r="M51" i="1"/>
  <c r="B62" i="1" s="1"/>
  <c r="A51" i="1"/>
  <c r="N50" i="1"/>
  <c r="M50" i="1"/>
  <c r="A50" i="1"/>
  <c r="M49" i="1"/>
  <c r="B60" i="1" s="1"/>
  <c r="A49" i="1"/>
  <c r="M48" i="1"/>
  <c r="A48" i="1"/>
  <c r="N47" i="1"/>
  <c r="M47" i="1"/>
  <c r="B58" i="1" s="1"/>
  <c r="A47" i="1"/>
  <c r="Q46" i="1"/>
  <c r="M46" i="1"/>
  <c r="D46" i="1"/>
  <c r="B46" i="1"/>
  <c r="A46" i="1"/>
  <c r="Q45" i="1"/>
  <c r="M45" i="1"/>
  <c r="A45" i="1"/>
  <c r="N44" i="1"/>
  <c r="D55" i="1" s="1"/>
  <c r="M44" i="1"/>
  <c r="B55" i="1" s="1"/>
  <c r="B44" i="1"/>
  <c r="A44" i="1"/>
  <c r="M43" i="1"/>
  <c r="A43" i="1"/>
  <c r="N42" i="1"/>
  <c r="M42" i="1"/>
  <c r="B53" i="1" s="1"/>
  <c r="A42" i="1"/>
  <c r="M41" i="1"/>
  <c r="B41" i="1"/>
  <c r="A41" i="1"/>
  <c r="M40" i="1"/>
  <c r="B51" i="1" s="1"/>
  <c r="A40" i="1"/>
  <c r="M39" i="1"/>
  <c r="B50" i="1" s="1"/>
  <c r="A39" i="1"/>
  <c r="Q38" i="1"/>
  <c r="M38" i="1"/>
  <c r="B49" i="1" s="1"/>
  <c r="B38" i="1"/>
  <c r="A38" i="1"/>
  <c r="Q37" i="1"/>
  <c r="M37" i="1"/>
  <c r="B48" i="1" s="1"/>
  <c r="A37" i="1"/>
  <c r="M36" i="1"/>
  <c r="B47" i="1" s="1"/>
  <c r="A36" i="1"/>
  <c r="Q35" i="1"/>
  <c r="N35" i="1"/>
  <c r="M35" i="1"/>
  <c r="A35" i="1"/>
  <c r="Q34" i="1"/>
  <c r="M34" i="1"/>
  <c r="B45" i="1" s="1"/>
  <c r="A34" i="1"/>
  <c r="M33" i="1"/>
  <c r="B33" i="1"/>
  <c r="A33" i="1"/>
  <c r="O32" i="1"/>
  <c r="E43" i="1" s="1"/>
  <c r="M32" i="1"/>
  <c r="B43" i="1" s="1"/>
  <c r="B32" i="1"/>
  <c r="A32" i="1"/>
  <c r="N31" i="1"/>
  <c r="D42" i="1" s="1"/>
  <c r="M31" i="1"/>
  <c r="B42" i="1" s="1"/>
  <c r="B31" i="1"/>
  <c r="A31" i="1"/>
  <c r="N30" i="1"/>
  <c r="D41" i="1" s="1"/>
  <c r="M30" i="1"/>
  <c r="A30" i="1"/>
  <c r="M29" i="1"/>
  <c r="B40" i="1" s="1"/>
  <c r="A29" i="1"/>
  <c r="N28" i="1"/>
  <c r="D39" i="1" s="1"/>
  <c r="M28" i="1"/>
  <c r="B39" i="1" s="1"/>
  <c r="A28" i="1"/>
  <c r="N27" i="1"/>
  <c r="D38" i="1" s="1"/>
  <c r="M27" i="1"/>
  <c r="A27" i="1"/>
  <c r="N26" i="1"/>
  <c r="D37" i="1" s="1"/>
  <c r="M26" i="1"/>
  <c r="B37" i="1" s="1"/>
  <c r="A26" i="1"/>
  <c r="M25" i="1"/>
  <c r="B36" i="1" s="1"/>
  <c r="B25" i="1"/>
  <c r="A25" i="1"/>
  <c r="M24" i="1"/>
  <c r="B35" i="1" s="1"/>
  <c r="A24" i="1"/>
  <c r="N23" i="1"/>
  <c r="D34" i="1" s="1"/>
  <c r="M23" i="1"/>
  <c r="B34" i="1" s="1"/>
  <c r="A23" i="1"/>
  <c r="N22" i="1"/>
  <c r="D33" i="1" s="1"/>
  <c r="M22" i="1"/>
  <c r="B22" i="1"/>
  <c r="A22" i="1"/>
  <c r="N21" i="1"/>
  <c r="D32" i="1" s="1"/>
  <c r="M21" i="1"/>
  <c r="A21" i="1"/>
  <c r="Q20" i="1"/>
  <c r="M20" i="1"/>
  <c r="N19" i="1"/>
  <c r="D30" i="1" s="1"/>
  <c r="M19" i="1"/>
  <c r="B30" i="1" s="1"/>
  <c r="M18" i="1"/>
  <c r="B29" i="1" s="1"/>
  <c r="N17" i="1"/>
  <c r="D28" i="1" s="1"/>
  <c r="M17" i="1"/>
  <c r="E10" i="1" s="1"/>
  <c r="G17" i="1"/>
  <c r="N16" i="1"/>
  <c r="D27" i="1" s="1"/>
  <c r="M16" i="1"/>
  <c r="B27" i="1" s="1"/>
  <c r="G16" i="1"/>
  <c r="M15" i="1"/>
  <c r="B26" i="1" s="1"/>
  <c r="G15" i="1"/>
  <c r="M14" i="1"/>
  <c r="G14" i="1"/>
  <c r="M13" i="1"/>
  <c r="B24" i="1" s="1"/>
  <c r="G13" i="1"/>
  <c r="E13" i="1"/>
  <c r="M12" i="1"/>
  <c r="D16" i="1" s="1"/>
  <c r="G12" i="1"/>
  <c r="M11" i="1"/>
  <c r="G11" i="1"/>
  <c r="Q10" i="1"/>
  <c r="M10" i="1"/>
  <c r="F17" i="1" s="1"/>
  <c r="G10" i="1"/>
  <c r="D10" i="1"/>
  <c r="D24" i="1" l="1"/>
  <c r="K7" i="3"/>
  <c r="N11" i="1"/>
  <c r="C14" i="1"/>
  <c r="F43" i="1"/>
  <c r="P55" i="1"/>
  <c r="G66" i="1" s="1"/>
  <c r="D66" i="1"/>
  <c r="I6" i="3"/>
  <c r="B6" i="3"/>
  <c r="Q14" i="1"/>
  <c r="P22" i="1"/>
  <c r="G33" i="1" s="1"/>
  <c r="O31" i="1"/>
  <c r="O44" i="1"/>
  <c r="O55" i="1"/>
  <c r="N25" i="1"/>
  <c r="K36" i="3"/>
  <c r="J36" i="3" s="1"/>
  <c r="N32" i="1"/>
  <c r="K53" i="3"/>
  <c r="N41" i="1"/>
  <c r="K72" i="3"/>
  <c r="K79" i="3"/>
  <c r="N43" i="1"/>
  <c r="N48" i="1"/>
  <c r="K89" i="3"/>
  <c r="N57" i="1"/>
  <c r="K108" i="3"/>
  <c r="F10" i="1"/>
  <c r="C11" i="1"/>
  <c r="E14" i="1"/>
  <c r="C15" i="1"/>
  <c r="C16" i="1"/>
  <c r="Q16" i="1"/>
  <c r="O17" i="1"/>
  <c r="B21" i="1"/>
  <c r="Q22" i="1"/>
  <c r="Q26" i="1"/>
  <c r="Q27" i="1"/>
  <c r="P28" i="1"/>
  <c r="G39" i="1" s="1"/>
  <c r="Q29" i="1"/>
  <c r="Q30" i="1"/>
  <c r="O43" i="1"/>
  <c r="P44" i="1"/>
  <c r="G55" i="1" s="1"/>
  <c r="N54" i="1"/>
  <c r="N29" i="1"/>
  <c r="K45" i="3"/>
  <c r="J45" i="3" s="1"/>
  <c r="N45" i="1"/>
  <c r="K81" i="3"/>
  <c r="O53" i="1"/>
  <c r="O45" i="1"/>
  <c r="O37" i="1"/>
  <c r="O29" i="1"/>
  <c r="O21" i="1"/>
  <c r="O19" i="1"/>
  <c r="O15" i="1"/>
  <c r="O50" i="1"/>
  <c r="O42" i="1"/>
  <c r="O34" i="1"/>
  <c r="O26" i="1"/>
  <c r="O54" i="1"/>
  <c r="O46" i="1"/>
  <c r="O38" i="1"/>
  <c r="O30" i="1"/>
  <c r="O22" i="1"/>
  <c r="O18" i="1"/>
  <c r="O16" i="1"/>
  <c r="O56" i="1"/>
  <c r="O48" i="1"/>
  <c r="D14" i="1"/>
  <c r="O25" i="1"/>
  <c r="O49" i="1"/>
  <c r="D11" i="1"/>
  <c r="D15" i="1"/>
  <c r="Q19" i="1"/>
  <c r="Q25" i="1"/>
  <c r="Q43" i="1"/>
  <c r="Q49" i="1"/>
  <c r="I8" i="3"/>
  <c r="B8" i="3"/>
  <c r="P31" i="1"/>
  <c r="G42" i="1" s="1"/>
  <c r="O11" i="1"/>
  <c r="Q21" i="1"/>
  <c r="O28" i="1"/>
  <c r="P30" i="1"/>
  <c r="G41" i="1" s="1"/>
  <c r="Q11" i="1"/>
  <c r="F14" i="1"/>
  <c r="F15" i="1"/>
  <c r="B23" i="1"/>
  <c r="B28" i="1"/>
  <c r="P42" i="1"/>
  <c r="G53" i="1" s="1"/>
  <c r="D58" i="1"/>
  <c r="N52" i="1"/>
  <c r="Q53" i="1"/>
  <c r="Q54" i="1"/>
  <c r="J42" i="3"/>
  <c r="J88" i="3"/>
  <c r="P27" i="1"/>
  <c r="G38" i="1" s="1"/>
  <c r="P50" i="1"/>
  <c r="G61" i="1" s="1"/>
  <c r="D61" i="1"/>
  <c r="F13" i="1"/>
  <c r="P16" i="1"/>
  <c r="G27" i="1" s="1"/>
  <c r="O24" i="1"/>
  <c r="Q33" i="1"/>
  <c r="O12" i="1"/>
  <c r="P17" i="1"/>
  <c r="G28" i="1" s="1"/>
  <c r="E16" i="1"/>
  <c r="O13" i="1"/>
  <c r="P13" i="1" s="1"/>
  <c r="G24" i="1" s="1"/>
  <c r="E17" i="1"/>
  <c r="N39" i="1"/>
  <c r="O52" i="1"/>
  <c r="O57" i="1"/>
  <c r="K18" i="3"/>
  <c r="K25" i="3"/>
  <c r="N24" i="1"/>
  <c r="K35" i="3"/>
  <c r="J33" i="3" s="1"/>
  <c r="K44" i="3"/>
  <c r="J43" i="3" s="1"/>
  <c r="N33" i="1"/>
  <c r="K54" i="3"/>
  <c r="J54" i="3" s="1"/>
  <c r="K61" i="3"/>
  <c r="N40" i="1"/>
  <c r="K71" i="3"/>
  <c r="J71" i="3" s="1"/>
  <c r="K80" i="3"/>
  <c r="J80" i="3" s="1"/>
  <c r="N49" i="1"/>
  <c r="K90" i="3"/>
  <c r="J90" i="3" s="1"/>
  <c r="K97" i="3"/>
  <c r="J96" i="3" s="1"/>
  <c r="N51" i="1"/>
  <c r="N56" i="1"/>
  <c r="K107" i="3"/>
  <c r="J107" i="3" s="1"/>
  <c r="Q55" i="1"/>
  <c r="Q47" i="1"/>
  <c r="Q39" i="1"/>
  <c r="Q31" i="1"/>
  <c r="Q23" i="1"/>
  <c r="Q17" i="1"/>
  <c r="Q52" i="1"/>
  <c r="Q44" i="1"/>
  <c r="Q36" i="1"/>
  <c r="Q28" i="1"/>
  <c r="E33" i="4"/>
  <c r="Q56" i="1"/>
  <c r="Q48" i="1"/>
  <c r="Q40" i="1"/>
  <c r="Q32" i="1"/>
  <c r="Q24" i="1"/>
  <c r="Q50" i="1"/>
  <c r="Q42" i="1"/>
  <c r="J34" i="3"/>
  <c r="Q15" i="1"/>
  <c r="O23" i="1"/>
  <c r="P23" i="1" s="1"/>
  <c r="G34" i="1" s="1"/>
  <c r="P26" i="1"/>
  <c r="G37" i="1" s="1"/>
  <c r="E11" i="1"/>
  <c r="A11" i="1" s="1"/>
  <c r="C17" i="1"/>
  <c r="O41" i="1"/>
  <c r="Q12" i="1"/>
  <c r="N18" i="1"/>
  <c r="O40" i="1"/>
  <c r="O47" i="1"/>
  <c r="P47" i="1" s="1"/>
  <c r="G58" i="1" s="1"/>
  <c r="O10" i="1"/>
  <c r="D12" i="1"/>
  <c r="Q13" i="1"/>
  <c r="N14" i="1"/>
  <c r="O20" i="1"/>
  <c r="N36" i="1"/>
  <c r="N38" i="1"/>
  <c r="O39" i="1"/>
  <c r="Q41" i="1"/>
  <c r="N46" i="1"/>
  <c r="O51" i="1"/>
  <c r="H8" i="3"/>
  <c r="H15" i="3"/>
  <c r="K15" i="3" s="1"/>
  <c r="K27" i="3"/>
  <c r="J27" i="3" s="1"/>
  <c r="N37" i="1"/>
  <c r="K63" i="3"/>
  <c r="J63" i="3" s="1"/>
  <c r="N53" i="1"/>
  <c r="K99" i="3"/>
  <c r="J99" i="3" s="1"/>
  <c r="J60" i="3"/>
  <c r="O27" i="1"/>
  <c r="D17" i="1"/>
  <c r="E15" i="1"/>
  <c r="C13" i="1"/>
  <c r="F12" i="1"/>
  <c r="F11" i="1"/>
  <c r="C12" i="1"/>
  <c r="F16" i="1"/>
  <c r="N20" i="1"/>
  <c r="C10" i="1"/>
  <c r="E12" i="1"/>
  <c r="D13" i="1"/>
  <c r="O14" i="1"/>
  <c r="N15" i="1"/>
  <c r="Q18" i="1"/>
  <c r="O33" i="1"/>
  <c r="N34" i="1"/>
  <c r="O35" i="1"/>
  <c r="O36" i="1"/>
  <c r="Q51" i="1"/>
  <c r="Q57" i="1"/>
  <c r="H9" i="3"/>
  <c r="K9" i="3" s="1"/>
  <c r="B16" i="3"/>
  <c r="B18" i="3"/>
  <c r="B24" i="3"/>
  <c r="B26" i="3"/>
  <c r="B34" i="3"/>
  <c r="B36" i="3"/>
  <c r="B42" i="3"/>
  <c r="B44" i="3"/>
  <c r="B52" i="3"/>
  <c r="B54" i="3"/>
  <c r="B60" i="3"/>
  <c r="B62" i="3"/>
  <c r="B70" i="3"/>
  <c r="B72" i="3"/>
  <c r="B78" i="3"/>
  <c r="B80" i="3"/>
  <c r="B88" i="3"/>
  <c r="B90" i="3"/>
  <c r="B96" i="3"/>
  <c r="B98" i="3"/>
  <c r="B106" i="3"/>
  <c r="B108" i="3"/>
  <c r="J15" i="3" l="1"/>
  <c r="J16" i="3"/>
  <c r="J17" i="3"/>
  <c r="J24" i="3"/>
  <c r="F62" i="1"/>
  <c r="E62" i="1"/>
  <c r="D25" i="1"/>
  <c r="P14" i="1"/>
  <c r="G25" i="1" s="1"/>
  <c r="E52" i="1"/>
  <c r="F52" i="1"/>
  <c r="D35" i="1"/>
  <c r="P24" i="1"/>
  <c r="G35" i="1" s="1"/>
  <c r="A16" i="1"/>
  <c r="F60" i="1"/>
  <c r="E60" i="1"/>
  <c r="F41" i="1"/>
  <c r="E41" i="1"/>
  <c r="F26" i="1"/>
  <c r="E26" i="1"/>
  <c r="D56" i="1"/>
  <c r="P45" i="1"/>
  <c r="G56" i="1" s="1"/>
  <c r="J98" i="3"/>
  <c r="J53" i="3"/>
  <c r="J51" i="3"/>
  <c r="E44" i="1"/>
  <c r="F44" i="1"/>
  <c r="F31" i="1"/>
  <c r="E31" i="1"/>
  <c r="D26" i="1"/>
  <c r="P15" i="1"/>
  <c r="G26" i="1" s="1"/>
  <c r="P46" i="1"/>
  <c r="G57" i="1" s="1"/>
  <c r="D57" i="1"/>
  <c r="J25" i="3"/>
  <c r="D63" i="1"/>
  <c r="P52" i="1"/>
  <c r="G63" i="1" s="1"/>
  <c r="N12" i="1"/>
  <c r="K8" i="3"/>
  <c r="E36" i="1"/>
  <c r="F36" i="1"/>
  <c r="F49" i="1"/>
  <c r="E49" i="1"/>
  <c r="F30" i="1"/>
  <c r="E30" i="1"/>
  <c r="J89" i="3"/>
  <c r="D43" i="1"/>
  <c r="P32" i="1"/>
  <c r="G43" i="1" s="1"/>
  <c r="P40" i="1"/>
  <c r="G51" i="1" s="1"/>
  <c r="D51" i="1"/>
  <c r="J18" i="3"/>
  <c r="E23" i="1"/>
  <c r="F23" i="1"/>
  <c r="F57" i="1"/>
  <c r="E57" i="1"/>
  <c r="F32" i="1"/>
  <c r="E32" i="1"/>
  <c r="P21" i="1"/>
  <c r="G32" i="1" s="1"/>
  <c r="D40" i="1"/>
  <c r="P29" i="1"/>
  <c r="G40" i="1" s="1"/>
  <c r="D59" i="1"/>
  <c r="P48" i="1"/>
  <c r="G59" i="1" s="1"/>
  <c r="J106" i="3"/>
  <c r="E21" i="1"/>
  <c r="F21" i="1"/>
  <c r="D67" i="1"/>
  <c r="P56" i="1"/>
  <c r="G67" i="1" s="1"/>
  <c r="F68" i="1"/>
  <c r="E68" i="1"/>
  <c r="J78" i="3"/>
  <c r="F39" i="1"/>
  <c r="E39" i="1"/>
  <c r="E59" i="1"/>
  <c r="F59" i="1"/>
  <c r="F65" i="1"/>
  <c r="E65" i="1"/>
  <c r="E40" i="1"/>
  <c r="F40" i="1"/>
  <c r="D65" i="1"/>
  <c r="P54" i="1"/>
  <c r="G65" i="1" s="1"/>
  <c r="A14" i="1"/>
  <c r="P43" i="1"/>
  <c r="G54" i="1" s="1"/>
  <c r="D54" i="1"/>
  <c r="D36" i="1"/>
  <c r="P25" i="1"/>
  <c r="G36" i="1" s="1"/>
  <c r="A13" i="1"/>
  <c r="D22" i="1"/>
  <c r="P11" i="1"/>
  <c r="G22" i="1" s="1"/>
  <c r="E47" i="1"/>
  <c r="F47" i="1"/>
  <c r="A12" i="1"/>
  <c r="A15" i="1"/>
  <c r="D48" i="1"/>
  <c r="P37" i="1"/>
  <c r="G48" i="1" s="1"/>
  <c r="D49" i="1"/>
  <c r="P38" i="1"/>
  <c r="G49" i="1" s="1"/>
  <c r="F58" i="1"/>
  <c r="E58" i="1"/>
  <c r="F34" i="1"/>
  <c r="E34" i="1"/>
  <c r="P51" i="1"/>
  <c r="G62" i="1" s="1"/>
  <c r="D62" i="1"/>
  <c r="E63" i="1"/>
  <c r="F63" i="1"/>
  <c r="F35" i="1"/>
  <c r="E35" i="1"/>
  <c r="J52" i="3"/>
  <c r="E67" i="1"/>
  <c r="F67" i="1"/>
  <c r="E37" i="1"/>
  <c r="F37" i="1"/>
  <c r="E48" i="1"/>
  <c r="F48" i="1"/>
  <c r="J79" i="3"/>
  <c r="J26" i="3"/>
  <c r="F25" i="1"/>
  <c r="E25" i="1"/>
  <c r="F50" i="1"/>
  <c r="E50" i="1"/>
  <c r="J61" i="3"/>
  <c r="F46" i="1"/>
  <c r="E46" i="1"/>
  <c r="F51" i="1"/>
  <c r="E51" i="1"/>
  <c r="J97" i="3"/>
  <c r="D44" i="1"/>
  <c r="P33" i="1"/>
  <c r="G44" i="1" s="1"/>
  <c r="P39" i="1"/>
  <c r="G50" i="1" s="1"/>
  <c r="D50" i="1"/>
  <c r="E22" i="1"/>
  <c r="F22" i="1"/>
  <c r="E27" i="1"/>
  <c r="F27" i="1"/>
  <c r="E45" i="1"/>
  <c r="F45" i="1"/>
  <c r="F56" i="1"/>
  <c r="E56" i="1"/>
  <c r="F54" i="1"/>
  <c r="E54" i="1"/>
  <c r="J72" i="3"/>
  <c r="F66" i="1"/>
  <c r="E66" i="1"/>
  <c r="J105" i="3"/>
  <c r="D47" i="1"/>
  <c r="P36" i="1"/>
  <c r="G47" i="1" s="1"/>
  <c r="P34" i="1"/>
  <c r="G45" i="1" s="1"/>
  <c r="D45" i="1"/>
  <c r="D31" i="1"/>
  <c r="P20" i="1"/>
  <c r="G31" i="1" s="1"/>
  <c r="F38" i="1"/>
  <c r="E38" i="1"/>
  <c r="P35" i="1"/>
  <c r="G46" i="1" s="1"/>
  <c r="D29" i="1"/>
  <c r="P18" i="1"/>
  <c r="G29" i="1" s="1"/>
  <c r="J70" i="3"/>
  <c r="J44" i="3"/>
  <c r="A17" i="1"/>
  <c r="E29" i="1"/>
  <c r="F29" i="1"/>
  <c r="E53" i="1"/>
  <c r="F53" i="1"/>
  <c r="F64" i="1"/>
  <c r="E64" i="1"/>
  <c r="P19" i="1"/>
  <c r="G30" i="1" s="1"/>
  <c r="J108" i="3"/>
  <c r="D52" i="1"/>
  <c r="P41" i="1"/>
  <c r="G52" i="1" s="1"/>
  <c r="E55" i="1"/>
  <c r="F55" i="1"/>
  <c r="N10" i="1"/>
  <c r="K6" i="3"/>
  <c r="J6" i="3" s="1"/>
  <c r="J87" i="3"/>
  <c r="P53" i="1"/>
  <c r="G64" i="1" s="1"/>
  <c r="D64" i="1"/>
  <c r="D60" i="1"/>
  <c r="P49" i="1"/>
  <c r="G60" i="1" s="1"/>
  <c r="J35" i="3"/>
  <c r="E24" i="1"/>
  <c r="F24" i="1"/>
  <c r="F33" i="1"/>
  <c r="E33" i="1"/>
  <c r="F61" i="1"/>
  <c r="E61" i="1"/>
  <c r="J81" i="3"/>
  <c r="E28" i="1"/>
  <c r="F28" i="1"/>
  <c r="D68" i="1"/>
  <c r="P57" i="1"/>
  <c r="G68" i="1" s="1"/>
  <c r="J62" i="3"/>
  <c r="F42" i="1"/>
  <c r="E42" i="1"/>
  <c r="J69" i="3"/>
  <c r="A10" i="1"/>
  <c r="J8" i="3" l="1"/>
  <c r="D23" i="1"/>
  <c r="P12" i="1"/>
  <c r="G23" i="1" s="1"/>
  <c r="J7" i="3"/>
  <c r="P10" i="1"/>
  <c r="G21" i="1" s="1"/>
  <c r="D21" i="1"/>
  <c r="J9" i="3"/>
</calcChain>
</file>

<file path=xl/sharedStrings.xml><?xml version="1.0" encoding="utf-8"?>
<sst xmlns="http://schemas.openxmlformats.org/spreadsheetml/2006/main" count="741" uniqueCount="197">
  <si>
    <t>FIFA World Cup 2026 — Sweepstake Leaderboard</t>
  </si>
  <si>
    <t>Scores update automatically as results are entered in the Group Stage and Knockout &amp; Winner tabs. Points: Group win 2 · Draw 1 · R32 qualify 3 · R16 5 · QF 8 · SF 12 · 3rd place 15 · Finalist 18 · Champion 25.</t>
  </si>
  <si>
    <t>Scoring System</t>
  </si>
  <si>
    <t>Group Win</t>
  </si>
  <si>
    <t>Group Draw</t>
  </si>
  <si>
    <t>Group Loss</t>
  </si>
  <si>
    <t>Reach R32</t>
  </si>
  <si>
    <t>Reach R16</t>
  </si>
  <si>
    <t>Reach QF</t>
  </si>
  <si>
    <t>Reach SF</t>
  </si>
  <si>
    <t>3rd Place</t>
  </si>
  <si>
    <t>Finalist</t>
  </si>
  <si>
    <t>Champion</t>
  </si>
  <si>
    <t>LEADERBOARD</t>
  </si>
  <si>
    <t>Rank</t>
  </si>
  <si>
    <t>Member</t>
  </si>
  <si>
    <t>Group Pts</t>
  </si>
  <si>
    <t>Knockout Pts</t>
  </si>
  <si>
    <t>Total</t>
  </si>
  <si>
    <t>Teams Still In</t>
  </si>
  <si>
    <t>Best Remaining</t>
  </si>
  <si>
    <t>Team</t>
  </si>
  <si>
    <t>GrpPts</t>
  </si>
  <si>
    <t>KOPts</t>
  </si>
  <si>
    <t>StillIn</t>
  </si>
  <si>
    <t>Poppa</t>
  </si>
  <si>
    <t>Mexico</t>
  </si>
  <si>
    <t>Nana</t>
  </si>
  <si>
    <t>South Korea</t>
  </si>
  <si>
    <t>Craig</t>
  </si>
  <si>
    <t>South Africa</t>
  </si>
  <si>
    <t>Anna</t>
  </si>
  <si>
    <t>Czechia</t>
  </si>
  <si>
    <t>Brooke</t>
  </si>
  <si>
    <t>Canada</t>
  </si>
  <si>
    <t>Lachlan</t>
  </si>
  <si>
    <t>Switzerland</t>
  </si>
  <si>
    <t>Sienna</t>
  </si>
  <si>
    <t>Qatar</t>
  </si>
  <si>
    <t>Brent</t>
  </si>
  <si>
    <t>Bosnia and Herzegovina</t>
  </si>
  <si>
    <t>Brazil</t>
  </si>
  <si>
    <t>TEAM SCORES</t>
  </si>
  <si>
    <t>Morocco</t>
  </si>
  <si>
    <t>Group</t>
  </si>
  <si>
    <t>Knockout Stage</t>
  </si>
  <si>
    <t>Scotland</t>
  </si>
  <si>
    <t>A</t>
  </si>
  <si>
    <t>Haiti</t>
  </si>
  <si>
    <t>United States</t>
  </si>
  <si>
    <t>Paraguay</t>
  </si>
  <si>
    <t>Australia</t>
  </si>
  <si>
    <t>B</t>
  </si>
  <si>
    <t>Türkiye</t>
  </si>
  <si>
    <t>Germany</t>
  </si>
  <si>
    <t>Ecuador</t>
  </si>
  <si>
    <t>Côte d'Ivoire</t>
  </si>
  <si>
    <t>C</t>
  </si>
  <si>
    <t>Curaçao</t>
  </si>
  <si>
    <t>Netherlands</t>
  </si>
  <si>
    <t>Japan</t>
  </si>
  <si>
    <t>Tunisia</t>
  </si>
  <si>
    <t>D</t>
  </si>
  <si>
    <t>Sweden</t>
  </si>
  <si>
    <t>Belgium</t>
  </si>
  <si>
    <t>Iran</t>
  </si>
  <si>
    <t>Egypt</t>
  </si>
  <si>
    <t>E</t>
  </si>
  <si>
    <t>New Zealand</t>
  </si>
  <si>
    <t>Spain</t>
  </si>
  <si>
    <t>Uruguay</t>
  </si>
  <si>
    <t>Saudi Arabia</t>
  </si>
  <si>
    <t>F</t>
  </si>
  <si>
    <t>Cabo Verde</t>
  </si>
  <si>
    <t>France</t>
  </si>
  <si>
    <t>Senegal</t>
  </si>
  <si>
    <t>Norway</t>
  </si>
  <si>
    <t>G</t>
  </si>
  <si>
    <t>Iraq</t>
  </si>
  <si>
    <t>Argentina</t>
  </si>
  <si>
    <t>Algeria</t>
  </si>
  <si>
    <t>Austria</t>
  </si>
  <si>
    <t>H</t>
  </si>
  <si>
    <t>Jordan</t>
  </si>
  <si>
    <t>Portugal</t>
  </si>
  <si>
    <t>Colombia</t>
  </si>
  <si>
    <t>Uzbekistan</t>
  </si>
  <si>
    <t>I</t>
  </si>
  <si>
    <t>DR Congo</t>
  </si>
  <si>
    <t>England</t>
  </si>
  <si>
    <t>Croatia</t>
  </si>
  <si>
    <t>Ghana</t>
  </si>
  <si>
    <t>J</t>
  </si>
  <si>
    <t>Panama</t>
  </si>
  <si>
    <t>K</t>
  </si>
  <si>
    <t>L</t>
  </si>
  <si>
    <t>FIFA World Cup 2026 Sweepstake — Team Allocations</t>
  </si>
  <si>
    <t>Each member draws 6 teams. Fill the cells below after the draw — pick from the dropdown in each cell.</t>
  </si>
  <si>
    <t>Team 1</t>
  </si>
  <si>
    <t>Team 2</t>
  </si>
  <si>
    <t>Team 3</t>
  </si>
  <si>
    <t>Team 4</t>
  </si>
  <si>
    <t>Team 5</t>
  </si>
  <si>
    <t>Team 6</t>
  </si>
  <si>
    <t>Count</t>
  </si>
  <si>
    <t>How it works:</t>
  </si>
  <si>
    <t>• 48 teams ÷ 8 members = 6 teams each.</t>
  </si>
  <si>
    <t>• After the live draw, type or select each member's 6 teams in their column.</t>
  </si>
  <si>
    <t>• The 'Count' row should read 6 for every member once the draw is complete.</t>
  </si>
  <si>
    <t>• The 'Participating Teams' tab lists all 48 teams with their group and FIFA ranking.</t>
  </si>
  <si>
    <t>FIFA World Cup 2026 — Group Stage Tracker</t>
  </si>
  <si>
    <t>Enter each match score in the yellow cells — standings update automatically. Top 2 of each group + the 8 best 3rd-place teams advance to the Round of 32.</t>
  </si>
  <si>
    <t>GROUP A</t>
  </si>
  <si>
    <t>Matches (enter scores)</t>
  </si>
  <si>
    <t>P</t>
  </si>
  <si>
    <t>W</t>
  </si>
  <si>
    <t>GF</t>
  </si>
  <si>
    <t>GA</t>
  </si>
  <si>
    <t>GD</t>
  </si>
  <si>
    <t>Pts</t>
  </si>
  <si>
    <t>Pos</t>
  </si>
  <si>
    <t>Key</t>
  </si>
  <si>
    <t>Home</t>
  </si>
  <si>
    <t>Away</t>
  </si>
  <si>
    <t>v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</si>
  <si>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</si>
  <si>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</si>
  <si>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</si>
  <si>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</si>
  <si>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</si>
  <si>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</si>
  <si>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</si>
  <si>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</si>
  <si>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</si>
  <si>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</si>
  <si>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</si>
  <si>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FIFA World Cup 2026 — Knockout Bracket &amp; Winners</t>
  </si>
  <si>
    <t>Fill the 32 qualifiers into the Round of 32 (yellow), then enter scores as games are played — winners advance automatically. For a draw, type the team that won on penalties in the 'Pen. winner' cell.</t>
  </si>
  <si>
    <t>🏆 TOURNAMENT WINNERS</t>
  </si>
  <si>
    <t>Result</t>
  </si>
  <si>
    <t>Owner (sweepstake)</t>
  </si>
  <si>
    <t>Runner-up</t>
  </si>
  <si>
    <t>Third place</t>
  </si>
  <si>
    <t>Fourth place</t>
  </si>
  <si>
    <t>ROUND OF 32  ·  enter the 32 qualifiers and scores</t>
  </si>
  <si>
    <t>Match</t>
  </si>
  <si>
    <t>Pen. winner
(if draw)</t>
  </si>
  <si>
    <t>Winner</t>
  </si>
  <si>
    <t>R32-1</t>
  </si>
  <si>
    <t>R32-2</t>
  </si>
  <si>
    <t>R32-3</t>
  </si>
  <si>
    <t>R32-4</t>
  </si>
  <si>
    <t>R32-5</t>
  </si>
  <si>
    <t>R32-6</t>
  </si>
  <si>
    <t>R32-7</t>
  </si>
  <si>
    <t>R32-8</t>
  </si>
  <si>
    <t>R32-9</t>
  </si>
  <si>
    <t>R32-10</t>
  </si>
  <si>
    <t>R32-11</t>
  </si>
  <si>
    <t>R32-12</t>
  </si>
  <si>
    <t>R32-13</t>
  </si>
  <si>
    <t>R32-14</t>
  </si>
  <si>
    <t>R32-15</t>
  </si>
  <si>
    <t>R32-16</t>
  </si>
  <si>
    <t>ROUND OF 16</t>
  </si>
  <si>
    <t>R16-1</t>
  </si>
  <si>
    <t>R16-2</t>
  </si>
  <si>
    <t>R16-3</t>
  </si>
  <si>
    <t>R16-4</t>
  </si>
  <si>
    <t>R16-5</t>
  </si>
  <si>
    <t>R16-6</t>
  </si>
  <si>
    <t>R16-7</t>
  </si>
  <si>
    <t>R16-8</t>
  </si>
  <si>
    <t>QUARTER-FINALS</t>
  </si>
  <si>
    <t>QF-1</t>
  </si>
  <si>
    <t>QF-2</t>
  </si>
  <si>
    <t>QF-3</t>
  </si>
  <si>
    <t>QF-4</t>
  </si>
  <si>
    <t>SEMI-FINALS</t>
  </si>
  <si>
    <t>SF-1</t>
  </si>
  <si>
    <t>SF-2</t>
  </si>
  <si>
    <t>THIRD-PLACE PLAY-OFF</t>
  </si>
  <si>
    <t>3rd place</t>
  </si>
  <si>
    <t>FINAL</t>
  </si>
  <si>
    <t>FIFA World Cup 2026 — 48 Participating Teams</t>
  </si>
  <si>
    <t>Hosted by Canada, Mexico &amp; USA · 11 June – 19 July 2026 · 12 groups of 4</t>
  </si>
  <si>
    <t>#</t>
  </si>
  <si>
    <t>Confederation</t>
  </si>
  <si>
    <t>FIFA Rank</t>
  </si>
  <si>
    <t>Allocated To</t>
  </si>
  <si>
    <t>CONCACAF (Host)</t>
  </si>
  <si>
    <t>AFC</t>
  </si>
  <si>
    <t>CAF</t>
  </si>
  <si>
    <t>UEFA</t>
  </si>
  <si>
    <t>CONMEBOL</t>
  </si>
  <si>
    <t>CONCACAF</t>
  </si>
  <si>
    <t>OFC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</si>
</sst>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A237E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2"/>
      <color rgb="FFFFC107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rgb="FF444444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999999"/>
      <name val="Arial"/>
      <family val="2"/>
    </font>
    <font>
      <b/>
      <sz val="14"/>
      <color rgb="FF1A237E"/>
      <name val="Arial"/>
      <family val="2"/>
    </font>
    <font>
      <i/>
      <sz val="9"/>
      <color rgb="FF666666"/>
      <name val="Arial"/>
      <family val="2"/>
    </font>
    <font>
      <b/>
      <sz val="12"/>
      <color rgb="FF1A237E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8"/>
      <color rgb="FF1A237E"/>
      <name val="Arial"/>
      <family val="2"/>
    </font>
    <font>
      <b/>
      <sz val="10"/>
      <color rgb="FF1A237E"/>
      <name val="Arial"/>
      <family val="2"/>
    </font>
    <font>
      <b/>
      <sz val="12"/>
      <color rgb="FF000000"/>
      <name val="Arial"/>
      <family val="2"/>
    </font>
    <font>
      <b/>
      <sz val="11"/>
      <color rgb="FFFFFFFF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A237E"/>
        <bgColor rgb="FF000080"/>
      </patternFill>
    </fill>
    <fill>
      <patternFill patternType="solid">
        <fgColor rgb="FF3949AB"/>
        <bgColor rgb="FF444444"/>
      </patternFill>
    </fill>
    <fill>
      <patternFill patternType="solid">
        <fgColor rgb="FFE8EAF6"/>
        <bgColor rgb="FFF2F2F2"/>
      </patternFill>
    </fill>
    <fill>
      <patternFill patternType="solid">
        <fgColor rgb="FFFFFFFF"/>
        <bgColor rgb="FFFFFDE7"/>
      </patternFill>
    </fill>
    <fill>
      <patternFill patternType="solid">
        <fgColor rgb="FFFFC107"/>
        <bgColor rgb="FFFF9900"/>
      </patternFill>
    </fill>
    <fill>
      <patternFill patternType="solid">
        <fgColor rgb="FFFFFDE7"/>
        <bgColor rgb="FFFFFFFF"/>
      </patternFill>
    </fill>
    <fill>
      <patternFill patternType="solid">
        <fgColor rgb="FFF2F2F2"/>
        <bgColor rgb="FFE8EAF6"/>
      </patternFill>
    </fill>
    <fill>
      <patternFill patternType="solid">
        <fgColor rgb="FFFFC107"/>
      </patternFill>
    </fill>
    <fill>
      <patternFill patternType="solid">
        <fgColor rgb="FF3949AB"/>
      </patternFill>
    </fill>
    <fill>
      <patternFill patternType="solid">
        <fgColor rgb="FFE8EAF6"/>
      </patternFill>
    </fill>
    <fill>
      <patternFill patternType="solid">
        <fgColor rgb="FF1A237E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FF8E1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0" borderId="0" xfId="0" applyFont="1"/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/>
    <xf numFmtId="0" fontId="13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20" fillId="10" borderId="2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left" vertical="center"/>
    </xf>
    <xf numFmtId="0" fontId="23" fillId="0" borderId="2" xfId="0" applyFont="1" applyBorder="1" applyAlignment="1">
      <alignment horizontal="center" vertical="center"/>
    </xf>
    <xf numFmtId="0" fontId="21" fillId="11" borderId="2" xfId="0" applyFont="1" applyFill="1" applyBorder="1" applyAlignment="1">
      <alignment horizontal="left" vertical="center"/>
    </xf>
    <xf numFmtId="0" fontId="25" fillId="10" borderId="2" xfId="0" applyFont="1" applyFill="1" applyBorder="1" applyAlignment="1">
      <alignment horizontal="center" vertical="center" wrapText="1"/>
    </xf>
    <xf numFmtId="0" fontId="26" fillId="11" borderId="2" xfId="0" applyFont="1" applyFill="1" applyBorder="1" applyAlignment="1">
      <alignment horizontal="center" vertical="center"/>
    </xf>
    <xf numFmtId="0" fontId="26" fillId="13" borderId="2" xfId="0" applyFont="1" applyFill="1" applyBorder="1" applyAlignment="1">
      <alignment horizontal="right" vertical="center"/>
    </xf>
    <xf numFmtId="0" fontId="21" fillId="13" borderId="2" xfId="0" applyFont="1" applyFill="1" applyBorder="1" applyAlignment="1">
      <alignment horizontal="center" vertical="center"/>
    </xf>
    <xf numFmtId="0" fontId="26" fillId="13" borderId="2" xfId="0" applyFont="1" applyFill="1" applyBorder="1" applyAlignment="1">
      <alignment horizontal="left" vertical="center"/>
    </xf>
    <xf numFmtId="0" fontId="27" fillId="13" borderId="2" xfId="0" applyFont="1" applyFill="1" applyBorder="1" applyAlignment="1">
      <alignment horizontal="center" vertical="center"/>
    </xf>
    <xf numFmtId="0" fontId="26" fillId="14" borderId="2" xfId="0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right" vertical="center"/>
    </xf>
    <xf numFmtId="0" fontId="26" fillId="15" borderId="2" xfId="0" applyFont="1" applyFill="1" applyBorder="1" applyAlignment="1">
      <alignment horizontal="left" vertical="center"/>
    </xf>
    <xf numFmtId="0" fontId="26" fillId="16" borderId="2" xfId="0" applyFont="1" applyFill="1" applyBorder="1" applyAlignment="1">
      <alignment horizontal="center" vertical="center"/>
    </xf>
    <xf numFmtId="0" fontId="26" fillId="16" borderId="2" xfId="0" applyFont="1" applyFill="1" applyBorder="1" applyAlignment="1">
      <alignment horizontal="right" vertical="center"/>
    </xf>
    <xf numFmtId="0" fontId="26" fillId="16" borderId="2" xfId="0" applyFont="1" applyFill="1" applyBorder="1" applyAlignment="1">
      <alignment horizontal="left" vertical="center"/>
    </xf>
    <xf numFmtId="0" fontId="29" fillId="11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left" vertical="center"/>
    </xf>
    <xf numFmtId="0" fontId="23" fillId="11" borderId="2" xfId="0" applyFont="1" applyFill="1" applyBorder="1" applyAlignment="1">
      <alignment horizontal="center" vertical="center"/>
    </xf>
    <xf numFmtId="0" fontId="31" fillId="17" borderId="2" xfId="0" applyFont="1" applyFill="1" applyBorder="1" applyAlignment="1">
      <alignment horizontal="center" vertical="center"/>
    </xf>
    <xf numFmtId="0" fontId="23" fillId="14" borderId="2" xfId="0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left" vertical="center"/>
    </xf>
    <xf numFmtId="0" fontId="23" fillId="15" borderId="2" xfId="0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left" vertical="center"/>
    </xf>
    <xf numFmtId="0" fontId="25" fillId="12" borderId="2" xfId="0" applyFont="1" applyFill="1" applyBorder="1" applyAlignment="1">
      <alignment horizontal="center" vertical="center"/>
    </xf>
    <xf numFmtId="0" fontId="27" fillId="15" borderId="2" xfId="0" applyFont="1" applyFill="1" applyBorder="1" applyAlignment="1">
      <alignment horizontal="center" vertical="center"/>
    </xf>
    <xf numFmtId="0" fontId="27" fillId="15" borderId="2" xfId="0" applyFont="1" applyFill="1" applyBorder="1" applyAlignment="1">
      <alignment horizontal="left" vertical="center"/>
    </xf>
    <xf numFmtId="0" fontId="26" fillId="17" borderId="2" xfId="0" applyFont="1" applyFill="1" applyBorder="1" applyAlignment="1">
      <alignment horizontal="center" vertical="center"/>
    </xf>
    <xf numFmtId="0" fontId="26" fillId="18" borderId="2" xfId="0" applyFont="1" applyFill="1" applyBorder="1" applyAlignment="1">
      <alignment horizontal="left" vertical="center"/>
    </xf>
    <xf numFmtId="0" fontId="27" fillId="18" borderId="2" xfId="0" applyFont="1" applyFill="1" applyBorder="1" applyAlignment="1">
      <alignment horizontal="center" vertical="center"/>
    </xf>
    <xf numFmtId="0" fontId="27" fillId="18" borderId="2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0" fillId="0" borderId="0" xfId="0"/>
    <xf numFmtId="0" fontId="24" fillId="12" borderId="0" xfId="0" applyFont="1" applyFill="1" applyAlignment="1">
      <alignment horizontal="left" vertical="center"/>
    </xf>
    <xf numFmtId="0" fontId="28" fillId="1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32" fillId="10" borderId="0" xfId="0" applyFont="1" applyFill="1" applyAlignment="1">
      <alignment horizontal="left" vertical="center"/>
    </xf>
    <xf numFmtId="0" fontId="10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3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2" fillId="0" borderId="2" xfId="0" applyFont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left" vertical="center"/>
    </xf>
    <xf numFmtId="0" fontId="18" fillId="0" borderId="0" xfId="0" applyFont="1" applyAlignment="1">
      <alignment vertical="top" wrapText="1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DE7"/>
      <rgbColor rgb="FFE8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107"/>
      <rgbColor rgb="FFFF9900"/>
      <rgbColor rgb="FFFF6600"/>
      <rgbColor rgb="FF666666"/>
      <rgbColor rgb="FF999999"/>
      <rgbColor rgb="FF1A237E"/>
      <rgbColor rgb="FF339966"/>
      <rgbColor rgb="FF003300"/>
      <rgbColor rgb="FF333300"/>
      <rgbColor rgb="FF993300"/>
      <rgbColor rgb="FF993366"/>
      <rgbColor rgb="FF3949AB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showGridLines="0" tabSelected="1" workbookViewId="0">
      <pane ySplit="9" topLeftCell="A10" activePane="bottomLeft" state="frozen"/>
      <selection activeCell="I20" sqref="I20"/>
      <selection pane="bottomLeft" activeCell="I20" sqref="I20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5" width="11" customWidth="1"/>
    <col min="6" max="6" width="13" customWidth="1"/>
    <col min="7" max="7" width="18" customWidth="1"/>
    <col min="8" max="10" width="4" customWidth="1"/>
    <col min="12" max="17" width="13" hidden="1" customWidth="1"/>
  </cols>
  <sheetData>
    <row r="1" spans="1:17" ht="24" customHeight="1" x14ac:dyDescent="0.2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</row>
    <row r="2" spans="1:17" ht="28" customHeight="1" x14ac:dyDescent="0.2">
      <c r="A2" s="68" t="s">
        <v>1</v>
      </c>
      <c r="B2" s="65"/>
      <c r="C2" s="65"/>
      <c r="D2" s="65"/>
      <c r="E2" s="65"/>
      <c r="F2" s="65"/>
      <c r="G2" s="65"/>
      <c r="H2" s="65"/>
      <c r="I2" s="65"/>
      <c r="J2" s="65"/>
    </row>
    <row r="4" spans="1:17" x14ac:dyDescent="0.2">
      <c r="A4" s="67" t="s">
        <v>2</v>
      </c>
      <c r="B4" s="65"/>
      <c r="C4" s="65"/>
      <c r="D4" s="65"/>
      <c r="E4" s="65"/>
      <c r="F4" s="65"/>
      <c r="G4" s="65"/>
      <c r="H4" s="65"/>
      <c r="I4" s="65"/>
      <c r="J4" s="65"/>
    </row>
    <row r="5" spans="1:17" ht="16" customHeight="1" x14ac:dyDescent="0.2">
      <c r="A5" s="45" t="s">
        <v>3</v>
      </c>
      <c r="B5" s="45" t="s">
        <v>4</v>
      </c>
      <c r="C5" s="45" t="s">
        <v>5</v>
      </c>
      <c r="D5" s="45" t="s">
        <v>6</v>
      </c>
      <c r="E5" s="45" t="s">
        <v>7</v>
      </c>
      <c r="F5" s="45" t="s">
        <v>8</v>
      </c>
      <c r="G5" s="45" t="s">
        <v>9</v>
      </c>
      <c r="H5" s="45" t="s">
        <v>10</v>
      </c>
      <c r="I5" s="45" t="s">
        <v>11</v>
      </c>
      <c r="J5" s="45" t="s">
        <v>12</v>
      </c>
    </row>
    <row r="6" spans="1:17" ht="18" customHeight="1" x14ac:dyDescent="0.2">
      <c r="A6" s="46">
        <v>2</v>
      </c>
      <c r="B6" s="46">
        <v>1</v>
      </c>
      <c r="C6" s="46">
        <v>0</v>
      </c>
      <c r="D6" s="46"/>
      <c r="E6" s="46">
        <v>5</v>
      </c>
      <c r="F6" s="46">
        <v>8</v>
      </c>
      <c r="G6" s="46">
        <v>12</v>
      </c>
      <c r="H6" s="46">
        <v>15</v>
      </c>
      <c r="I6" s="46">
        <v>18</v>
      </c>
      <c r="J6" s="46">
        <v>25</v>
      </c>
    </row>
    <row r="8" spans="1:17" ht="20" customHeight="1" x14ac:dyDescent="0.2">
      <c r="A8" s="66" t="s">
        <v>13</v>
      </c>
      <c r="B8" s="65"/>
      <c r="C8" s="65"/>
      <c r="D8" s="65"/>
      <c r="E8" s="65"/>
      <c r="F8" s="65"/>
      <c r="G8" s="65"/>
      <c r="H8" s="65"/>
      <c r="I8" s="65"/>
      <c r="J8" s="65"/>
    </row>
    <row r="9" spans="1:17" ht="18" customHeight="1" x14ac:dyDescent="0.2">
      <c r="A9" s="29" t="s">
        <v>14</v>
      </c>
      <c r="B9" s="29" t="s">
        <v>15</v>
      </c>
      <c r="C9" s="29" t="s">
        <v>16</v>
      </c>
      <c r="D9" s="29" t="s">
        <v>17</v>
      </c>
      <c r="E9" s="29" t="s">
        <v>18</v>
      </c>
      <c r="F9" s="29" t="s">
        <v>19</v>
      </c>
      <c r="G9" s="29" t="s">
        <v>20</v>
      </c>
      <c r="L9" t="s">
        <v>21</v>
      </c>
      <c r="M9" t="s">
        <v>15</v>
      </c>
      <c r="N9" t="s">
        <v>22</v>
      </c>
      <c r="O9" t="s">
        <v>23</v>
      </c>
      <c r="P9" t="s">
        <v>18</v>
      </c>
      <c r="Q9" t="s">
        <v>24</v>
      </c>
    </row>
    <row r="10" spans="1:17" ht="22" customHeight="1" x14ac:dyDescent="0.2">
      <c r="A10" s="47">
        <f t="shared" ref="A10:A17" si="0">RANK(E10,E$10:E$17,0)</f>
        <v>1</v>
      </c>
      <c r="B10" s="48" t="s">
        <v>25</v>
      </c>
      <c r="C10" s="49">
        <f t="shared" ref="C10:C17" si="1">SUMIF(M$10:M$57,B10,N$10:N$57)</f>
        <v>0</v>
      </c>
      <c r="D10" s="49">
        <f t="shared" ref="D10:D17" si="2">SUMIF(M$10:M$57,B10,O$10:O$57)</f>
        <v>0</v>
      </c>
      <c r="E10" s="50">
        <f t="shared" ref="E10:E17" si="3">SUMIF(M$10:M$57,B10,P$10:P$57)</f>
        <v>0</v>
      </c>
      <c r="F10" s="51">
        <f t="shared" ref="F10:F17" si="4">COUNTIFS(M$10:M$57,B10,Q$10:Q$57,"Yes")</f>
        <v>0</v>
      </c>
      <c r="G10" s="49" t="str">
        <f ca="1">IFERROR(INDEX(L$10:L$57,MATCH(_xludf.MAXIFS(P$10:P$57,M$10:M$57,B10,Q$10:Q$57,"Yes"),P$10:P$57,0)),"—")</f>
        <v>—</v>
      </c>
      <c r="L10" t="s">
        <v>26</v>
      </c>
      <c r="M10">
        <f>IFERROR(VLOOKUP(L10,'Participating Teams'!$B$4:$F$51,5,FALSE),"")</f>
        <v>0</v>
      </c>
      <c r="N10">
        <f>IFERROR(INDEX('Group Stage'!$I$1:$I$200,MATCH(L10,'Group Stage'!$A$1:$A$200,0)),0)</f>
        <v>0</v>
      </c>
      <c r="O10">
        <f>IF(AND('Knockout &amp; Winner'!$G$59&lt;&gt;"",'Knockout &amp; Winner'!$G$59=L10),25,IF(AND('Knockout &amp; Winner'!$G$55&lt;&gt;"",'Knockout &amp; Winner'!$G$55=L10),15,IF(OR(AND('Knockout &amp; Winner'!$B$59&lt;&gt;"",'Knockout &amp; Winner'!$B$59=L10),AND('Knockout &amp; Winner'!$E$59&lt;&gt;"",'Knockout &amp; Winner'!$E$59=L10)),18,IF(COUNTIF('Knockout &amp; Winner'!$G$50:$G$51,L10)&gt;0,12,IF(COUNTIF('Knockout &amp; Winner'!$G$43:$G$46,L10)&gt;0,8,IF(COUNTIF('Knockout &amp; Winner'!$G$32:$G$39,L10)&gt;0,5,IF(COUNTIF('Knockout &amp; Winner'!$G$13:$G$28,L10)&gt;0,3,0)))))))</f>
        <v>0</v>
      </c>
      <c r="P10">
        <f t="shared" ref="P10:P57" si="5">N10+O10</f>
        <v>0</v>
      </c>
      <c r="Q10" t="str">
        <f>IF(OR(COUNTIF('Knockout &amp; Winner'!$G$13:$G$28,L10)&gt;0,COUNTIF('Knockout &amp; Winner'!$G$32:$G$39,L10)&gt;0,COUNTIF('Knockout &amp; Winner'!$G$43:$G$46,L10)&gt;0,COUNTIF('Knockout &amp; Winner'!$G$50:$G$51,L10)&gt;0,'Knockout &amp; Winner'!$G$55=L10,'Knockout &amp; Winner'!$G$59=L10),"Yes","")</f>
        <v/>
      </c>
    </row>
    <row r="11" spans="1:17" ht="22" customHeight="1" x14ac:dyDescent="0.2">
      <c r="A11" s="52">
        <f t="shared" si="0"/>
        <v>1</v>
      </c>
      <c r="B11" s="53" t="s">
        <v>27</v>
      </c>
      <c r="C11" s="54">
        <f t="shared" si="1"/>
        <v>0</v>
      </c>
      <c r="D11" s="54">
        <f t="shared" si="2"/>
        <v>0</v>
      </c>
      <c r="E11" s="50">
        <f t="shared" si="3"/>
        <v>0</v>
      </c>
      <c r="F11" s="51">
        <f t="shared" si="4"/>
        <v>0</v>
      </c>
      <c r="G11" s="54" t="str">
        <f ca="1">IFERROR(INDEX(L$10:L$57,MATCH(_xludf.MAXIFS(P$10:P$57,M$10:M$57,B11,Q$10:Q$57,"Yes"),P$10:P$57,0)),"—")</f>
        <v>—</v>
      </c>
      <c r="L11" t="s">
        <v>28</v>
      </c>
      <c r="M11">
        <f>IFERROR(VLOOKUP(L11,'Participating Teams'!$B$4:$F$51,5,FALSE),"")</f>
        <v>0</v>
      </c>
      <c r="N11">
        <f>IFERROR(INDEX('Group Stage'!$I$1:$I$200,MATCH(L11,'Group Stage'!$A$1:$A$200,0)),0)</f>
        <v>0</v>
      </c>
      <c r="O11">
        <f>IF(AND('Knockout &amp; Winner'!$G$59&lt;&gt;"",'Knockout &amp; Winner'!$G$59=L11),25,IF(AND('Knockout &amp; Winner'!$G$55&lt;&gt;"",'Knockout &amp; Winner'!$G$55=L11),15,IF(OR(AND('Knockout &amp; Winner'!$B$59&lt;&gt;"",'Knockout &amp; Winner'!$B$59=L11),AND('Knockout &amp; Winner'!$E$59&lt;&gt;"",'Knockout &amp; Winner'!$E$59=L11)),18,IF(COUNTIF('Knockout &amp; Winner'!$G$50:$G$51,L11)&gt;0,12,IF(COUNTIF('Knockout &amp; Winner'!$G$43:$G$46,L11)&gt;0,8,IF(COUNTIF('Knockout &amp; Winner'!$G$32:$G$39,L11)&gt;0,5,IF(COUNTIF('Knockout &amp; Winner'!$G$13:$G$28,L11)&gt;0,3,0)))))))</f>
        <v>0</v>
      </c>
      <c r="P11">
        <f t="shared" si="5"/>
        <v>0</v>
      </c>
      <c r="Q11" t="str">
        <f>IF(OR(COUNTIF('Knockout &amp; Winner'!$G$13:$G$28,L11)&gt;0,COUNTIF('Knockout &amp; Winner'!$G$32:$G$39,L11)&gt;0,COUNTIF('Knockout &amp; Winner'!$G$43:$G$46,L11)&gt;0,COUNTIF('Knockout &amp; Winner'!$G$50:$G$51,L11)&gt;0,'Knockout &amp; Winner'!$G$55=L11,'Knockout &amp; Winner'!$G$59=L11),"Yes","")</f>
        <v/>
      </c>
    </row>
    <row r="12" spans="1:17" ht="22" customHeight="1" x14ac:dyDescent="0.2">
      <c r="A12" s="55">
        <f t="shared" si="0"/>
        <v>1</v>
      </c>
      <c r="B12" s="56" t="s">
        <v>29</v>
      </c>
      <c r="C12" s="49">
        <f t="shared" si="1"/>
        <v>0</v>
      </c>
      <c r="D12" s="49">
        <f t="shared" si="2"/>
        <v>0</v>
      </c>
      <c r="E12" s="50">
        <f t="shared" si="3"/>
        <v>0</v>
      </c>
      <c r="F12" s="51">
        <f t="shared" si="4"/>
        <v>0</v>
      </c>
      <c r="G12" s="49" t="str">
        <f ca="1">IFERROR(INDEX(L$10:L$57,MATCH(_xludf.MAXIFS(P$10:P$57,M$10:M$57,B12,Q$10:Q$57,"Yes"),P$10:P$57,0)),"—")</f>
        <v>—</v>
      </c>
      <c r="L12" t="s">
        <v>30</v>
      </c>
      <c r="M12">
        <f>IFERROR(VLOOKUP(L12,'Participating Teams'!$B$4:$F$51,5,FALSE),"")</f>
        <v>0</v>
      </c>
      <c r="N12">
        <f>IFERROR(INDEX('Group Stage'!$I$1:$I$200,MATCH(L12,'Group Stage'!$A$1:$A$200,0)),0)</f>
        <v>0</v>
      </c>
      <c r="O12">
        <f>IF(AND('Knockout &amp; Winner'!$G$59&lt;&gt;"",'Knockout &amp; Winner'!$G$59=L12),25,IF(AND('Knockout &amp; Winner'!$G$55&lt;&gt;"",'Knockout &amp; Winner'!$G$55=L12),15,IF(OR(AND('Knockout &amp; Winner'!$B$59&lt;&gt;"",'Knockout &amp; Winner'!$B$59=L12),AND('Knockout &amp; Winner'!$E$59&lt;&gt;"",'Knockout &amp; Winner'!$E$59=L12)),18,IF(COUNTIF('Knockout &amp; Winner'!$G$50:$G$51,L12)&gt;0,12,IF(COUNTIF('Knockout &amp; Winner'!$G$43:$G$46,L12)&gt;0,8,IF(COUNTIF('Knockout &amp; Winner'!$G$32:$G$39,L12)&gt;0,5,IF(COUNTIF('Knockout &amp; Winner'!$G$13:$G$28,L12)&gt;0,3,0)))))))</f>
        <v>0</v>
      </c>
      <c r="P12">
        <f t="shared" si="5"/>
        <v>0</v>
      </c>
      <c r="Q12" t="str">
        <f>IF(OR(COUNTIF('Knockout &amp; Winner'!$G$13:$G$28,L12)&gt;0,COUNTIF('Knockout &amp; Winner'!$G$32:$G$39,L12)&gt;0,COUNTIF('Knockout &amp; Winner'!$G$43:$G$46,L12)&gt;0,COUNTIF('Knockout &amp; Winner'!$G$50:$G$51,L12)&gt;0,'Knockout &amp; Winner'!$G$55=L12,'Knockout &amp; Winner'!$G$59=L12),"Yes","")</f>
        <v/>
      </c>
    </row>
    <row r="13" spans="1:17" ht="22" customHeight="1" x14ac:dyDescent="0.2">
      <c r="A13" s="52">
        <f t="shared" si="0"/>
        <v>1</v>
      </c>
      <c r="B13" s="53" t="s">
        <v>31</v>
      </c>
      <c r="C13" s="54">
        <f t="shared" si="1"/>
        <v>0</v>
      </c>
      <c r="D13" s="54">
        <f t="shared" si="2"/>
        <v>0</v>
      </c>
      <c r="E13" s="50">
        <f t="shared" si="3"/>
        <v>0</v>
      </c>
      <c r="F13" s="51">
        <f t="shared" si="4"/>
        <v>0</v>
      </c>
      <c r="G13" s="54" t="str">
        <f ca="1">IFERROR(INDEX(L$10:L$57,MATCH(_xludf.MAXIFS(P$10:P$57,M$10:M$57,B13,Q$10:Q$57,"Yes"),P$10:P$57,0)),"—")</f>
        <v>—</v>
      </c>
      <c r="L13" t="s">
        <v>32</v>
      </c>
      <c r="M13">
        <f>IFERROR(VLOOKUP(L13,'Participating Teams'!$B$4:$F$51,5,FALSE),"")</f>
        <v>0</v>
      </c>
      <c r="N13">
        <f>IFERROR(INDEX('Group Stage'!$I$1:$I$200,MATCH(L13,'Group Stage'!$A$1:$A$200,0)),0)</f>
        <v>0</v>
      </c>
      <c r="O13">
        <f>IF(AND('Knockout &amp; Winner'!$G$59&lt;&gt;"",'Knockout &amp; Winner'!$G$59=L13),25,IF(AND('Knockout &amp; Winner'!$G$55&lt;&gt;"",'Knockout &amp; Winner'!$G$55=L13),15,IF(OR(AND('Knockout &amp; Winner'!$B$59&lt;&gt;"",'Knockout &amp; Winner'!$B$59=L13),AND('Knockout &amp; Winner'!$E$59&lt;&gt;"",'Knockout &amp; Winner'!$E$59=L13)),18,IF(COUNTIF('Knockout &amp; Winner'!$G$50:$G$51,L13)&gt;0,12,IF(COUNTIF('Knockout &amp; Winner'!$G$43:$G$46,L13)&gt;0,8,IF(COUNTIF('Knockout &amp; Winner'!$G$32:$G$39,L13)&gt;0,5,IF(COUNTIF('Knockout &amp; Winner'!$G$13:$G$28,L13)&gt;0,3,0)))))))</f>
        <v>0</v>
      </c>
      <c r="P13">
        <f t="shared" si="5"/>
        <v>0</v>
      </c>
      <c r="Q13" t="str">
        <f>IF(OR(COUNTIF('Knockout &amp; Winner'!$G$13:$G$28,L13)&gt;0,COUNTIF('Knockout &amp; Winner'!$G$32:$G$39,L13)&gt;0,COUNTIF('Knockout &amp; Winner'!$G$43:$G$46,L13)&gt;0,COUNTIF('Knockout &amp; Winner'!$G$50:$G$51,L13)&gt;0,'Knockout &amp; Winner'!$G$55=L13,'Knockout &amp; Winner'!$G$59=L13),"Yes","")</f>
        <v/>
      </c>
    </row>
    <row r="14" spans="1:17" ht="22" customHeight="1" x14ac:dyDescent="0.2">
      <c r="A14" s="55">
        <f t="shared" si="0"/>
        <v>1</v>
      </c>
      <c r="B14" s="56" t="s">
        <v>33</v>
      </c>
      <c r="C14" s="49">
        <f t="shared" si="1"/>
        <v>0</v>
      </c>
      <c r="D14" s="49">
        <f t="shared" si="2"/>
        <v>0</v>
      </c>
      <c r="E14" s="50">
        <f t="shared" si="3"/>
        <v>0</v>
      </c>
      <c r="F14" s="51">
        <f t="shared" si="4"/>
        <v>0</v>
      </c>
      <c r="G14" s="49" t="str">
        <f ca="1">IFERROR(INDEX(L$10:L$57,MATCH(_xludf.MAXIFS(P$10:P$57,M$10:M$57,B14,Q$10:Q$57,"Yes"),P$10:P$57,0)),"—")</f>
        <v>—</v>
      </c>
      <c r="L14" t="s">
        <v>34</v>
      </c>
      <c r="M14">
        <f>IFERROR(VLOOKUP(L14,'Participating Teams'!$B$4:$F$51,5,FALSE),"")</f>
        <v>0</v>
      </c>
      <c r="N14">
        <f>IFERROR(INDEX('Group Stage'!$I$1:$I$200,MATCH(L14,'Group Stage'!$A$1:$A$200,0)),0)</f>
        <v>0</v>
      </c>
      <c r="O14">
        <f>IF(AND('Knockout &amp; Winner'!$G$59&lt;&gt;"",'Knockout &amp; Winner'!$G$59=L14),25,IF(AND('Knockout &amp; Winner'!$G$55&lt;&gt;"",'Knockout &amp; Winner'!$G$55=L14),15,IF(OR(AND('Knockout &amp; Winner'!$B$59&lt;&gt;"",'Knockout &amp; Winner'!$B$59=L14),AND('Knockout &amp; Winner'!$E$59&lt;&gt;"",'Knockout &amp; Winner'!$E$59=L14)),18,IF(COUNTIF('Knockout &amp; Winner'!$G$50:$G$51,L14)&gt;0,12,IF(COUNTIF('Knockout &amp; Winner'!$G$43:$G$46,L14)&gt;0,8,IF(COUNTIF('Knockout &amp; Winner'!$G$32:$G$39,L14)&gt;0,5,IF(COUNTIF('Knockout &amp; Winner'!$G$13:$G$28,L14)&gt;0,3,0)))))))</f>
        <v>0</v>
      </c>
      <c r="P14">
        <f t="shared" si="5"/>
        <v>0</v>
      </c>
      <c r="Q14" t="str">
        <f>IF(OR(COUNTIF('Knockout &amp; Winner'!$G$13:$G$28,L14)&gt;0,COUNTIF('Knockout &amp; Winner'!$G$32:$G$39,L14)&gt;0,COUNTIF('Knockout &amp; Winner'!$G$43:$G$46,L14)&gt;0,COUNTIF('Knockout &amp; Winner'!$G$50:$G$51,L14)&gt;0,'Knockout &amp; Winner'!$G$55=L14,'Knockout &amp; Winner'!$G$59=L14),"Yes","")</f>
        <v/>
      </c>
    </row>
    <row r="15" spans="1:17" ht="22" customHeight="1" x14ac:dyDescent="0.2">
      <c r="A15" s="52">
        <f t="shared" si="0"/>
        <v>1</v>
      </c>
      <c r="B15" s="53" t="s">
        <v>35</v>
      </c>
      <c r="C15" s="54">
        <f t="shared" si="1"/>
        <v>0</v>
      </c>
      <c r="D15" s="54">
        <f t="shared" si="2"/>
        <v>0</v>
      </c>
      <c r="E15" s="50">
        <f t="shared" si="3"/>
        <v>0</v>
      </c>
      <c r="F15" s="51">
        <f t="shared" si="4"/>
        <v>0</v>
      </c>
      <c r="G15" s="54" t="str">
        <f ca="1">IFERROR(INDEX(L$10:L$57,MATCH(_xludf.MAXIFS(P$10:P$57,M$10:M$57,B15,Q$10:Q$57,"Yes"),P$10:P$57,0)),"—")</f>
        <v>—</v>
      </c>
      <c r="L15" t="s">
        <v>36</v>
      </c>
      <c r="M15">
        <f>IFERROR(VLOOKUP(L15,'Participating Teams'!$B$4:$F$51,5,FALSE),"")</f>
        <v>0</v>
      </c>
      <c r="N15">
        <f>IFERROR(INDEX('Group Stage'!$I$1:$I$200,MATCH(L15,'Group Stage'!$A$1:$A$200,0)),0)</f>
        <v>0</v>
      </c>
      <c r="O15">
        <f>IF(AND('Knockout &amp; Winner'!$G$59&lt;&gt;"",'Knockout &amp; Winner'!$G$59=L15),25,IF(AND('Knockout &amp; Winner'!$G$55&lt;&gt;"",'Knockout &amp; Winner'!$G$55=L15),15,IF(OR(AND('Knockout &amp; Winner'!$B$59&lt;&gt;"",'Knockout &amp; Winner'!$B$59=L15),AND('Knockout &amp; Winner'!$E$59&lt;&gt;"",'Knockout &amp; Winner'!$E$59=L15)),18,IF(COUNTIF('Knockout &amp; Winner'!$G$50:$G$51,L15)&gt;0,12,IF(COUNTIF('Knockout &amp; Winner'!$G$43:$G$46,L15)&gt;0,8,IF(COUNTIF('Knockout &amp; Winner'!$G$32:$G$39,L15)&gt;0,5,IF(COUNTIF('Knockout &amp; Winner'!$G$13:$G$28,L15)&gt;0,3,0)))))))</f>
        <v>0</v>
      </c>
      <c r="P15">
        <f t="shared" si="5"/>
        <v>0</v>
      </c>
      <c r="Q15" t="str">
        <f>IF(OR(COUNTIF('Knockout &amp; Winner'!$G$13:$G$28,L15)&gt;0,COUNTIF('Knockout &amp; Winner'!$G$32:$G$39,L15)&gt;0,COUNTIF('Knockout &amp; Winner'!$G$43:$G$46,L15)&gt;0,COUNTIF('Knockout &amp; Winner'!$G$50:$G$51,L15)&gt;0,'Knockout &amp; Winner'!$G$55=L15,'Knockout &amp; Winner'!$G$59=L15),"Yes","")</f>
        <v/>
      </c>
    </row>
    <row r="16" spans="1:17" ht="22" customHeight="1" x14ac:dyDescent="0.2">
      <c r="A16" s="55">
        <f t="shared" si="0"/>
        <v>1</v>
      </c>
      <c r="B16" s="56" t="s">
        <v>37</v>
      </c>
      <c r="C16" s="49">
        <f t="shared" si="1"/>
        <v>0</v>
      </c>
      <c r="D16" s="49">
        <f t="shared" si="2"/>
        <v>0</v>
      </c>
      <c r="E16" s="50">
        <f t="shared" si="3"/>
        <v>0</v>
      </c>
      <c r="F16" s="51">
        <f t="shared" si="4"/>
        <v>0</v>
      </c>
      <c r="G16" s="49" t="str">
        <f ca="1">IFERROR(INDEX(L$10:L$57,MATCH(_xludf.MAXIFS(P$10:P$57,M$10:M$57,B16,Q$10:Q$57,"Yes"),P$10:P$57,0)),"—")</f>
        <v>—</v>
      </c>
      <c r="L16" t="s">
        <v>38</v>
      </c>
      <c r="M16">
        <f>IFERROR(VLOOKUP(L16,'Participating Teams'!$B$4:$F$51,5,FALSE),"")</f>
        <v>0</v>
      </c>
      <c r="N16">
        <f>IFERROR(INDEX('Group Stage'!$I$1:$I$200,MATCH(L16,'Group Stage'!$A$1:$A$200,0)),0)</f>
        <v>0</v>
      </c>
      <c r="O16">
        <f>IF(AND('Knockout &amp; Winner'!$G$59&lt;&gt;"",'Knockout &amp; Winner'!$G$59=L16),25,IF(AND('Knockout &amp; Winner'!$G$55&lt;&gt;"",'Knockout &amp; Winner'!$G$55=L16),15,IF(OR(AND('Knockout &amp; Winner'!$B$59&lt;&gt;"",'Knockout &amp; Winner'!$B$59=L16),AND('Knockout &amp; Winner'!$E$59&lt;&gt;"",'Knockout &amp; Winner'!$E$59=L16)),18,IF(COUNTIF('Knockout &amp; Winner'!$G$50:$G$51,L16)&gt;0,12,IF(COUNTIF('Knockout &amp; Winner'!$G$43:$G$46,L16)&gt;0,8,IF(COUNTIF('Knockout &amp; Winner'!$G$32:$G$39,L16)&gt;0,5,IF(COUNTIF('Knockout &amp; Winner'!$G$13:$G$28,L16)&gt;0,3,0)))))))</f>
        <v>0</v>
      </c>
      <c r="P16">
        <f t="shared" si="5"/>
        <v>0</v>
      </c>
      <c r="Q16" t="str">
        <f>IF(OR(COUNTIF('Knockout &amp; Winner'!$G$13:$G$28,L16)&gt;0,COUNTIF('Knockout &amp; Winner'!$G$32:$G$39,L16)&gt;0,COUNTIF('Knockout &amp; Winner'!$G$43:$G$46,L16)&gt;0,COUNTIF('Knockout &amp; Winner'!$G$50:$G$51,L16)&gt;0,'Knockout &amp; Winner'!$G$55=L16,'Knockout &amp; Winner'!$G$59=L16),"Yes","")</f>
        <v/>
      </c>
    </row>
    <row r="17" spans="1:17" ht="22" customHeight="1" x14ac:dyDescent="0.2">
      <c r="A17" s="52">
        <f t="shared" si="0"/>
        <v>1</v>
      </c>
      <c r="B17" s="53" t="s">
        <v>39</v>
      </c>
      <c r="C17" s="54">
        <f t="shared" si="1"/>
        <v>0</v>
      </c>
      <c r="D17" s="54">
        <f t="shared" si="2"/>
        <v>0</v>
      </c>
      <c r="E17" s="50">
        <f t="shared" si="3"/>
        <v>0</v>
      </c>
      <c r="F17" s="51">
        <f t="shared" si="4"/>
        <v>0</v>
      </c>
      <c r="G17" s="54" t="str">
        <f ca="1">IFERROR(INDEX(L$10:L$57,MATCH(_xludf.MAXIFS(P$10:P$57,M$10:M$57,B17,Q$10:Q$57,"Yes"),P$10:P$57,0)),"—")</f>
        <v>—</v>
      </c>
      <c r="L17" t="s">
        <v>40</v>
      </c>
      <c r="M17">
        <f>IFERROR(VLOOKUP(L17,'Participating Teams'!$B$4:$F$51,5,FALSE),"")</f>
        <v>0</v>
      </c>
      <c r="N17">
        <f>IFERROR(INDEX('Group Stage'!$I$1:$I$200,MATCH(L17,'Group Stage'!$A$1:$A$200,0)),0)</f>
        <v>0</v>
      </c>
      <c r="O17">
        <f>IF(AND('Knockout &amp; Winner'!$G$59&lt;&gt;"",'Knockout &amp; Winner'!$G$59=L17),25,IF(AND('Knockout &amp; Winner'!$G$55&lt;&gt;"",'Knockout &amp; Winner'!$G$55=L17),15,IF(OR(AND('Knockout &amp; Winner'!$B$59&lt;&gt;"",'Knockout &amp; Winner'!$B$59=L17),AND('Knockout &amp; Winner'!$E$59&lt;&gt;"",'Knockout &amp; Winner'!$E$59=L17)),18,IF(COUNTIF('Knockout &amp; Winner'!$G$50:$G$51,L17)&gt;0,12,IF(COUNTIF('Knockout &amp; Winner'!$G$43:$G$46,L17)&gt;0,8,IF(COUNTIF('Knockout &amp; Winner'!$G$32:$G$39,L17)&gt;0,5,IF(COUNTIF('Knockout &amp; Winner'!$G$13:$G$28,L17)&gt;0,3,0)))))))</f>
        <v>0</v>
      </c>
      <c r="P17">
        <f t="shared" si="5"/>
        <v>0</v>
      </c>
      <c r="Q17" t="str">
        <f>IF(OR(COUNTIF('Knockout &amp; Winner'!$G$13:$G$28,L17)&gt;0,COUNTIF('Knockout &amp; Winner'!$G$32:$G$39,L17)&gt;0,COUNTIF('Knockout &amp; Winner'!$G$43:$G$46,L17)&gt;0,COUNTIF('Knockout &amp; Winner'!$G$50:$G$51,L17)&gt;0,'Knockout &amp; Winner'!$G$55=L17,'Knockout &amp; Winner'!$G$59=L17),"Yes","")</f>
        <v/>
      </c>
    </row>
    <row r="18" spans="1:17" x14ac:dyDescent="0.2">
      <c r="L18" t="s">
        <v>41</v>
      </c>
      <c r="M18">
        <f>IFERROR(VLOOKUP(L18,'Participating Teams'!$B$4:$F$51,5,FALSE),"")</f>
        <v>0</v>
      </c>
      <c r="N18">
        <f>IFERROR(INDEX('Group Stage'!$I$1:$I$200,MATCH(L18,'Group Stage'!$A$1:$A$200,0)),0)</f>
        <v>0</v>
      </c>
      <c r="O18">
        <f>IF(AND('Knockout &amp; Winner'!$G$59&lt;&gt;"",'Knockout &amp; Winner'!$G$59=L18),25,IF(AND('Knockout &amp; Winner'!$G$55&lt;&gt;"",'Knockout &amp; Winner'!$G$55=L18),15,IF(OR(AND('Knockout &amp; Winner'!$B$59&lt;&gt;"",'Knockout &amp; Winner'!$B$59=L18),AND('Knockout &amp; Winner'!$E$59&lt;&gt;"",'Knockout &amp; Winner'!$E$59=L18)),18,IF(COUNTIF('Knockout &amp; Winner'!$G$50:$G$51,L18)&gt;0,12,IF(COUNTIF('Knockout &amp; Winner'!$G$43:$G$46,L18)&gt;0,8,IF(COUNTIF('Knockout &amp; Winner'!$G$32:$G$39,L18)&gt;0,5,IF(COUNTIF('Knockout &amp; Winner'!$G$13:$G$28,L18)&gt;0,3,0)))))))</f>
        <v>0</v>
      </c>
      <c r="P18">
        <f t="shared" si="5"/>
        <v>0</v>
      </c>
      <c r="Q18" t="str">
        <f>IF(OR(COUNTIF('Knockout &amp; Winner'!$G$13:$G$28,L18)&gt;0,COUNTIF('Knockout &amp; Winner'!$G$32:$G$39,L18)&gt;0,COUNTIF('Knockout &amp; Winner'!$G$43:$G$46,L18)&gt;0,COUNTIF('Knockout &amp; Winner'!$G$50:$G$51,L18)&gt;0,'Knockout &amp; Winner'!$G$55=L18,'Knockout &amp; Winner'!$G$59=L18),"Yes","")</f>
        <v/>
      </c>
    </row>
    <row r="19" spans="1:17" ht="18" customHeight="1" x14ac:dyDescent="0.2">
      <c r="A19" s="69" t="s">
        <v>42</v>
      </c>
      <c r="B19" s="65"/>
      <c r="C19" s="65"/>
      <c r="D19" s="65"/>
      <c r="E19" s="65"/>
      <c r="F19" s="65"/>
      <c r="G19" s="65"/>
      <c r="H19" s="65"/>
      <c r="I19" s="65"/>
      <c r="J19" s="65"/>
      <c r="L19" t="s">
        <v>43</v>
      </c>
      <c r="M19">
        <f>IFERROR(VLOOKUP(L19,'Participating Teams'!$B$4:$F$51,5,FALSE),"")</f>
        <v>0</v>
      </c>
      <c r="N19">
        <f>IFERROR(INDEX('Group Stage'!$I$1:$I$200,MATCH(L19,'Group Stage'!$A$1:$A$200,0)),0)</f>
        <v>0</v>
      </c>
      <c r="O19">
        <f>IF(AND('Knockout &amp; Winner'!$G$59&lt;&gt;"",'Knockout &amp; Winner'!$G$59=L19),25,IF(AND('Knockout &amp; Winner'!$G$55&lt;&gt;"",'Knockout &amp; Winner'!$G$55=L19),15,IF(OR(AND('Knockout &amp; Winner'!$B$59&lt;&gt;"",'Knockout &amp; Winner'!$B$59=L19),AND('Knockout &amp; Winner'!$E$59&lt;&gt;"",'Knockout &amp; Winner'!$E$59=L19)),18,IF(COUNTIF('Knockout &amp; Winner'!$G$50:$G$51,L19)&gt;0,12,IF(COUNTIF('Knockout &amp; Winner'!$G$43:$G$46,L19)&gt;0,8,IF(COUNTIF('Knockout &amp; Winner'!$G$32:$G$39,L19)&gt;0,5,IF(COUNTIF('Knockout &amp; Winner'!$G$13:$G$28,L19)&gt;0,3,0)))))))</f>
        <v>0</v>
      </c>
      <c r="P19">
        <f t="shared" si="5"/>
        <v>0</v>
      </c>
      <c r="Q19" t="str">
        <f>IF(OR(COUNTIF('Knockout &amp; Winner'!$G$13:$G$28,L19)&gt;0,COUNTIF('Knockout &amp; Winner'!$G$32:$G$39,L19)&gt;0,COUNTIF('Knockout &amp; Winner'!$G$43:$G$46,L19)&gt;0,COUNTIF('Knockout &amp; Winner'!$G$50:$G$51,L19)&gt;0,'Knockout &amp; Winner'!$G$55=L19,'Knockout &amp; Winner'!$G$59=L19),"Yes","")</f>
        <v/>
      </c>
    </row>
    <row r="20" spans="1:17" x14ac:dyDescent="0.2">
      <c r="A20" s="57" t="s">
        <v>21</v>
      </c>
      <c r="B20" s="57" t="s">
        <v>15</v>
      </c>
      <c r="C20" s="57" t="s">
        <v>44</v>
      </c>
      <c r="D20" s="57" t="s">
        <v>16</v>
      </c>
      <c r="E20" s="57" t="s">
        <v>45</v>
      </c>
      <c r="F20" s="57" t="s">
        <v>17</v>
      </c>
      <c r="G20" s="57" t="s">
        <v>18</v>
      </c>
      <c r="L20" t="s">
        <v>46</v>
      </c>
      <c r="M20">
        <f>IFERROR(VLOOKUP(L20,'Participating Teams'!$B$4:$F$51,5,FALSE),"")</f>
        <v>0</v>
      </c>
      <c r="N20">
        <f>IFERROR(INDEX('Group Stage'!$I$1:$I$200,MATCH(L20,'Group Stage'!$A$1:$A$200,0)),0)</f>
        <v>0</v>
      </c>
      <c r="O20">
        <f>IF(AND('Knockout &amp; Winner'!$G$59&lt;&gt;"",'Knockout &amp; Winner'!$G$59=L20),25,IF(AND('Knockout &amp; Winner'!$G$55&lt;&gt;"",'Knockout &amp; Winner'!$G$55=L20),15,IF(OR(AND('Knockout &amp; Winner'!$B$59&lt;&gt;"",'Knockout &amp; Winner'!$B$59=L20),AND('Knockout &amp; Winner'!$E$59&lt;&gt;"",'Knockout &amp; Winner'!$E$59=L20)),18,IF(COUNTIF('Knockout &amp; Winner'!$G$50:$G$51,L20)&gt;0,12,IF(COUNTIF('Knockout &amp; Winner'!$G$43:$G$46,L20)&gt;0,8,IF(COUNTIF('Knockout &amp; Winner'!$G$32:$G$39,L20)&gt;0,5,IF(COUNTIF('Knockout &amp; Winner'!$G$13:$G$28,L20)&gt;0,3,0)))))))</f>
        <v>0</v>
      </c>
      <c r="P20">
        <f t="shared" si="5"/>
        <v>0</v>
      </c>
      <c r="Q20" t="str">
        <f>IF(OR(COUNTIF('Knockout &amp; Winner'!$G$13:$G$28,L20)&gt;0,COUNTIF('Knockout &amp; Winner'!$G$32:$G$39,L20)&gt;0,COUNTIF('Knockout &amp; Winner'!$G$43:$G$46,L20)&gt;0,COUNTIF('Knockout &amp; Winner'!$G$50:$G$51,L20)&gt;0,'Knockout &amp; Winner'!$G$55=L20,'Knockout &amp; Winner'!$G$59=L20),"Yes","")</f>
        <v/>
      </c>
    </row>
    <row r="21" spans="1:17" x14ac:dyDescent="0.2">
      <c r="A21" s="41" t="str">
        <f t="shared" ref="A21:A68" si="6">L10</f>
        <v>Mexico</v>
      </c>
      <c r="B21" s="58">
        <f t="shared" ref="B21:B68" si="7">M10</f>
        <v>0</v>
      </c>
      <c r="C21" s="58" t="s">
        <v>47</v>
      </c>
      <c r="D21" s="58">
        <f t="shared" ref="D21:D68" si="8">N10</f>
        <v>0</v>
      </c>
      <c r="E21" s="59" t="str">
        <f>IF(O10=25,"Champion",IF(OR('Knockout &amp; Winner'!$B$59=L10,'Knockout &amp; Winner'!$E$59=L10),"Finalist",IF(O10=15,"3rd Place",IF(O10=12,"Semi-final",IF(O10=8,"Quarter-final",IF(O10=5,"Round of 16",IF(O10=3,"Round of 32","—")))))))</f>
        <v>—</v>
      </c>
      <c r="F21" s="58">
        <f t="shared" ref="F21:F68" si="9">O10</f>
        <v>0</v>
      </c>
      <c r="G21" s="60">
        <f t="shared" ref="G21:G68" si="10">P10</f>
        <v>0</v>
      </c>
      <c r="L21" t="s">
        <v>48</v>
      </c>
      <c r="M21">
        <f>IFERROR(VLOOKUP(L21,'Participating Teams'!$B$4:$F$51,5,FALSE),"")</f>
        <v>0</v>
      </c>
      <c r="N21">
        <f>IFERROR(INDEX('Group Stage'!$I$1:$I$200,MATCH(L21,'Group Stage'!$A$1:$A$200,0)),0)</f>
        <v>0</v>
      </c>
      <c r="O21">
        <f>IF(AND('Knockout &amp; Winner'!$G$59&lt;&gt;"",'Knockout &amp; Winner'!$G$59=L21),25,IF(AND('Knockout &amp; Winner'!$G$55&lt;&gt;"",'Knockout &amp; Winner'!$G$55=L21),15,IF(OR(AND('Knockout &amp; Winner'!$B$59&lt;&gt;"",'Knockout &amp; Winner'!$B$59=L21),AND('Knockout &amp; Winner'!$E$59&lt;&gt;"",'Knockout &amp; Winner'!$E$59=L21)),18,IF(COUNTIF('Knockout &amp; Winner'!$G$50:$G$51,L21)&gt;0,12,IF(COUNTIF('Knockout &amp; Winner'!$G$43:$G$46,L21)&gt;0,8,IF(COUNTIF('Knockout &amp; Winner'!$G$32:$G$39,L21)&gt;0,5,IF(COUNTIF('Knockout &amp; Winner'!$G$13:$G$28,L21)&gt;0,3,0)))))))</f>
        <v>0</v>
      </c>
      <c r="P21">
        <f t="shared" si="5"/>
        <v>0</v>
      </c>
      <c r="Q21" t="str">
        <f>IF(OR(COUNTIF('Knockout &amp; Winner'!$G$13:$G$28,L21)&gt;0,COUNTIF('Knockout &amp; Winner'!$G$32:$G$39,L21)&gt;0,COUNTIF('Knockout &amp; Winner'!$G$43:$G$46,L21)&gt;0,COUNTIF('Knockout &amp; Winner'!$G$50:$G$51,L21)&gt;0,'Knockout &amp; Winner'!$G$55=L21,'Knockout &amp; Winner'!$G$59=L21),"Yes","")</f>
        <v/>
      </c>
    </row>
    <row r="22" spans="1:17" x14ac:dyDescent="0.2">
      <c r="A22" s="61" t="str">
        <f t="shared" si="6"/>
        <v>South Korea</v>
      </c>
      <c r="B22" s="62">
        <f t="shared" si="7"/>
        <v>0</v>
      </c>
      <c r="C22" s="62" t="s">
        <v>47</v>
      </c>
      <c r="D22" s="62">
        <f t="shared" si="8"/>
        <v>0</v>
      </c>
      <c r="E22" s="63" t="str">
        <f>IF(O11=25,"Champion",IF(OR('Knockout &amp; Winner'!$B$59=L11,'Knockout &amp; Winner'!$E$59=L11),"Finalist",IF(O11=15,"3rd Place",IF(O11=12,"Semi-final",IF(O11=8,"Quarter-final",IF(O11=5,"Round of 16",IF(O11=3,"Round of 32","—")))))))</f>
        <v>—</v>
      </c>
      <c r="F22" s="62">
        <f t="shared" si="9"/>
        <v>0</v>
      </c>
      <c r="G22" s="60">
        <f t="shared" si="10"/>
        <v>0</v>
      </c>
      <c r="L22" t="s">
        <v>49</v>
      </c>
      <c r="M22">
        <f>IFERROR(VLOOKUP(L22,'Participating Teams'!$B$4:$F$51,5,FALSE),"")</f>
        <v>0</v>
      </c>
      <c r="N22">
        <f>IFERROR(INDEX('Group Stage'!$I$1:$I$200,MATCH(L22,'Group Stage'!$A$1:$A$200,0)),0)</f>
        <v>0</v>
      </c>
      <c r="O22">
        <f>IF(AND('Knockout &amp; Winner'!$G$59&lt;&gt;"",'Knockout &amp; Winner'!$G$59=L22),25,IF(AND('Knockout &amp; Winner'!$G$55&lt;&gt;"",'Knockout &amp; Winner'!$G$55=L22),15,IF(OR(AND('Knockout &amp; Winner'!$B$59&lt;&gt;"",'Knockout &amp; Winner'!$B$59=L22),AND('Knockout &amp; Winner'!$E$59&lt;&gt;"",'Knockout &amp; Winner'!$E$59=L22)),18,IF(COUNTIF('Knockout &amp; Winner'!$G$50:$G$51,L22)&gt;0,12,IF(COUNTIF('Knockout &amp; Winner'!$G$43:$G$46,L22)&gt;0,8,IF(COUNTIF('Knockout &amp; Winner'!$G$32:$G$39,L22)&gt;0,5,IF(COUNTIF('Knockout &amp; Winner'!$G$13:$G$28,L22)&gt;0,3,0)))))))</f>
        <v>0</v>
      </c>
      <c r="P22">
        <f t="shared" si="5"/>
        <v>0</v>
      </c>
      <c r="Q22" t="str">
        <f>IF(OR(COUNTIF('Knockout &amp; Winner'!$G$13:$G$28,L22)&gt;0,COUNTIF('Knockout &amp; Winner'!$G$32:$G$39,L22)&gt;0,COUNTIF('Knockout &amp; Winner'!$G$43:$G$46,L22)&gt;0,COUNTIF('Knockout &amp; Winner'!$G$50:$G$51,L22)&gt;0,'Knockout &amp; Winner'!$G$55=L22,'Knockout &amp; Winner'!$G$59=L22),"Yes","")</f>
        <v/>
      </c>
    </row>
    <row r="23" spans="1:17" x14ac:dyDescent="0.2">
      <c r="A23" s="41" t="str">
        <f t="shared" si="6"/>
        <v>South Africa</v>
      </c>
      <c r="B23" s="58">
        <f t="shared" si="7"/>
        <v>0</v>
      </c>
      <c r="C23" s="58" t="s">
        <v>47</v>
      </c>
      <c r="D23" s="58">
        <f t="shared" si="8"/>
        <v>0</v>
      </c>
      <c r="E23" s="59" t="str">
        <f>IF(O12=25,"Champion",IF(OR('Knockout &amp; Winner'!$B$59=L12,'Knockout &amp; Winner'!$E$59=L12),"Finalist",IF(O12=15,"3rd Place",IF(O12=12,"Semi-final",IF(O12=8,"Quarter-final",IF(O12=5,"Round of 16",IF(O12=3,"Round of 32","—")))))))</f>
        <v>—</v>
      </c>
      <c r="F23" s="58">
        <f t="shared" si="9"/>
        <v>0</v>
      </c>
      <c r="G23" s="60">
        <f t="shared" si="10"/>
        <v>0</v>
      </c>
      <c r="L23" t="s">
        <v>50</v>
      </c>
      <c r="M23">
        <f>IFERROR(VLOOKUP(L23,'Participating Teams'!$B$4:$F$51,5,FALSE),"")</f>
        <v>0</v>
      </c>
      <c r="N23">
        <f>IFERROR(INDEX('Group Stage'!$I$1:$I$200,MATCH(L23,'Group Stage'!$A$1:$A$200,0)),0)</f>
        <v>0</v>
      </c>
      <c r="O23">
        <f>IF(AND('Knockout &amp; Winner'!$G$59&lt;&gt;"",'Knockout &amp; Winner'!$G$59=L23),25,IF(AND('Knockout &amp; Winner'!$G$55&lt;&gt;"",'Knockout &amp; Winner'!$G$55=L23),15,IF(OR(AND('Knockout &amp; Winner'!$B$59&lt;&gt;"",'Knockout &amp; Winner'!$B$59=L23),AND('Knockout &amp; Winner'!$E$59&lt;&gt;"",'Knockout &amp; Winner'!$E$59=L23)),18,IF(COUNTIF('Knockout &amp; Winner'!$G$50:$G$51,L23)&gt;0,12,IF(COUNTIF('Knockout &amp; Winner'!$G$43:$G$46,L23)&gt;0,8,IF(COUNTIF('Knockout &amp; Winner'!$G$32:$G$39,L23)&gt;0,5,IF(COUNTIF('Knockout &amp; Winner'!$G$13:$G$28,L23)&gt;0,3,0)))))))</f>
        <v>0</v>
      </c>
      <c r="P23">
        <f t="shared" si="5"/>
        <v>0</v>
      </c>
      <c r="Q23" t="str">
        <f>IF(OR(COUNTIF('Knockout &amp; Winner'!$G$13:$G$28,L23)&gt;0,COUNTIF('Knockout &amp; Winner'!$G$32:$G$39,L23)&gt;0,COUNTIF('Knockout &amp; Winner'!$G$43:$G$46,L23)&gt;0,COUNTIF('Knockout &amp; Winner'!$G$50:$G$51,L23)&gt;0,'Knockout &amp; Winner'!$G$55=L23,'Knockout &amp; Winner'!$G$59=L23),"Yes","")</f>
        <v/>
      </c>
    </row>
    <row r="24" spans="1:17" x14ac:dyDescent="0.2">
      <c r="A24" s="61" t="str">
        <f t="shared" si="6"/>
        <v>Czechia</v>
      </c>
      <c r="B24" s="62">
        <f t="shared" si="7"/>
        <v>0</v>
      </c>
      <c r="C24" s="62" t="s">
        <v>47</v>
      </c>
      <c r="D24" s="62">
        <f t="shared" si="8"/>
        <v>0</v>
      </c>
      <c r="E24" s="63" t="str">
        <f>IF(O13=25,"Champion",IF(OR('Knockout &amp; Winner'!$B$59=L13,'Knockout &amp; Winner'!$E$59=L13),"Finalist",IF(O13=15,"3rd Place",IF(O13=12,"Semi-final",IF(O13=8,"Quarter-final",IF(O13=5,"Round of 16",IF(O13=3,"Round of 32","—")))))))</f>
        <v>—</v>
      </c>
      <c r="F24" s="62">
        <f t="shared" si="9"/>
        <v>0</v>
      </c>
      <c r="G24" s="60">
        <f t="shared" si="10"/>
        <v>0</v>
      </c>
      <c r="L24" t="s">
        <v>51</v>
      </c>
      <c r="M24">
        <f>IFERROR(VLOOKUP(L24,'Participating Teams'!$B$4:$F$51,5,FALSE),"")</f>
        <v>0</v>
      </c>
      <c r="N24">
        <f>IFERROR(INDEX('Group Stage'!$I$1:$I$200,MATCH(L24,'Group Stage'!$A$1:$A$200,0)),0)</f>
        <v>0</v>
      </c>
      <c r="O24">
        <f>IF(AND('Knockout &amp; Winner'!$G$59&lt;&gt;"",'Knockout &amp; Winner'!$G$59=L24),25,IF(AND('Knockout &amp; Winner'!$G$55&lt;&gt;"",'Knockout &amp; Winner'!$G$55=L24),15,IF(OR(AND('Knockout &amp; Winner'!$B$59&lt;&gt;"",'Knockout &amp; Winner'!$B$59=L24),AND('Knockout &amp; Winner'!$E$59&lt;&gt;"",'Knockout &amp; Winner'!$E$59=L24)),18,IF(COUNTIF('Knockout &amp; Winner'!$G$50:$G$51,L24)&gt;0,12,IF(COUNTIF('Knockout &amp; Winner'!$G$43:$G$46,L24)&gt;0,8,IF(COUNTIF('Knockout &amp; Winner'!$G$32:$G$39,L24)&gt;0,5,IF(COUNTIF('Knockout &amp; Winner'!$G$13:$G$28,L24)&gt;0,3,0)))))))</f>
        <v>0</v>
      </c>
      <c r="P24">
        <f t="shared" si="5"/>
        <v>0</v>
      </c>
      <c r="Q24" t="str">
        <f>IF(OR(COUNTIF('Knockout &amp; Winner'!$G$13:$G$28,L24)&gt;0,COUNTIF('Knockout &amp; Winner'!$G$32:$G$39,L24)&gt;0,COUNTIF('Knockout &amp; Winner'!$G$43:$G$46,L24)&gt;0,COUNTIF('Knockout &amp; Winner'!$G$50:$G$51,L24)&gt;0,'Knockout &amp; Winner'!$G$55=L24,'Knockout &amp; Winner'!$G$59=L24),"Yes","")</f>
        <v/>
      </c>
    </row>
    <row r="25" spans="1:17" x14ac:dyDescent="0.2">
      <c r="A25" s="41" t="str">
        <f t="shared" si="6"/>
        <v>Canada</v>
      </c>
      <c r="B25" s="58">
        <f t="shared" si="7"/>
        <v>0</v>
      </c>
      <c r="C25" s="58" t="s">
        <v>52</v>
      </c>
      <c r="D25" s="58">
        <f t="shared" si="8"/>
        <v>0</v>
      </c>
      <c r="E25" s="59" t="str">
        <f>IF(O14=25,"Champion",IF(OR('Knockout &amp; Winner'!$B$59=L14,'Knockout &amp; Winner'!$E$59=L14),"Finalist",IF(O14=15,"3rd Place",IF(O14=12,"Semi-final",IF(O14=8,"Quarter-final",IF(O14=5,"Round of 16",IF(O14=3,"Round of 32","—")))))))</f>
        <v>—</v>
      </c>
      <c r="F25" s="58">
        <f t="shared" si="9"/>
        <v>0</v>
      </c>
      <c r="G25" s="60">
        <f t="shared" si="10"/>
        <v>0</v>
      </c>
      <c r="L25" t="s">
        <v>53</v>
      </c>
      <c r="M25">
        <f>IFERROR(VLOOKUP(L25,'Participating Teams'!$B$4:$F$51,5,FALSE),"")</f>
        <v>0</v>
      </c>
      <c r="N25">
        <f>IFERROR(INDEX('Group Stage'!$I$1:$I$200,MATCH(L25,'Group Stage'!$A$1:$A$200,0)),0)</f>
        <v>0</v>
      </c>
      <c r="O25">
        <f>IF(AND('Knockout &amp; Winner'!$G$59&lt;&gt;"",'Knockout &amp; Winner'!$G$59=L25),25,IF(AND('Knockout &amp; Winner'!$G$55&lt;&gt;"",'Knockout &amp; Winner'!$G$55=L25),15,IF(OR(AND('Knockout &amp; Winner'!$B$59&lt;&gt;"",'Knockout &amp; Winner'!$B$59=L25),AND('Knockout &amp; Winner'!$E$59&lt;&gt;"",'Knockout &amp; Winner'!$E$59=L25)),18,IF(COUNTIF('Knockout &amp; Winner'!$G$50:$G$51,L25)&gt;0,12,IF(COUNTIF('Knockout &amp; Winner'!$G$43:$G$46,L25)&gt;0,8,IF(COUNTIF('Knockout &amp; Winner'!$G$32:$G$39,L25)&gt;0,5,IF(COUNTIF('Knockout &amp; Winner'!$G$13:$G$28,L25)&gt;0,3,0)))))))</f>
        <v>0</v>
      </c>
      <c r="P25">
        <f t="shared" si="5"/>
        <v>0</v>
      </c>
      <c r="Q25" t="str">
        <f>IF(OR(COUNTIF('Knockout &amp; Winner'!$G$13:$G$28,L25)&gt;0,COUNTIF('Knockout &amp; Winner'!$G$32:$G$39,L25)&gt;0,COUNTIF('Knockout &amp; Winner'!$G$43:$G$46,L25)&gt;0,COUNTIF('Knockout &amp; Winner'!$G$50:$G$51,L25)&gt;0,'Knockout &amp; Winner'!$G$55=L25,'Knockout &amp; Winner'!$G$59=L25),"Yes","")</f>
        <v/>
      </c>
    </row>
    <row r="26" spans="1:17" x14ac:dyDescent="0.2">
      <c r="A26" s="61" t="str">
        <f t="shared" si="6"/>
        <v>Switzerland</v>
      </c>
      <c r="B26" s="62">
        <f t="shared" si="7"/>
        <v>0</v>
      </c>
      <c r="C26" s="62" t="s">
        <v>52</v>
      </c>
      <c r="D26" s="62">
        <f t="shared" si="8"/>
        <v>0</v>
      </c>
      <c r="E26" s="63" t="str">
        <f>IF(O15=25,"Champion",IF(OR('Knockout &amp; Winner'!$B$59=L15,'Knockout &amp; Winner'!$E$59=L15),"Finalist",IF(O15=15,"3rd Place",IF(O15=12,"Semi-final",IF(O15=8,"Quarter-final",IF(O15=5,"Round of 16",IF(O15=3,"Round of 32","—")))))))</f>
        <v>—</v>
      </c>
      <c r="F26" s="62">
        <f t="shared" si="9"/>
        <v>0</v>
      </c>
      <c r="G26" s="60">
        <f t="shared" si="10"/>
        <v>0</v>
      </c>
      <c r="L26" t="s">
        <v>54</v>
      </c>
      <c r="M26">
        <f>IFERROR(VLOOKUP(L26,'Participating Teams'!$B$4:$F$51,5,FALSE),"")</f>
        <v>0</v>
      </c>
      <c r="N26">
        <f>IFERROR(INDEX('Group Stage'!$I$1:$I$200,MATCH(L26,'Group Stage'!$A$1:$A$200,0)),0)</f>
        <v>0</v>
      </c>
      <c r="O26">
        <f>IF(AND('Knockout &amp; Winner'!$G$59&lt;&gt;"",'Knockout &amp; Winner'!$G$59=L26),25,IF(AND('Knockout &amp; Winner'!$G$55&lt;&gt;"",'Knockout &amp; Winner'!$G$55=L26),15,IF(OR(AND('Knockout &amp; Winner'!$B$59&lt;&gt;"",'Knockout &amp; Winner'!$B$59=L26),AND('Knockout &amp; Winner'!$E$59&lt;&gt;"",'Knockout &amp; Winner'!$E$59=L26)),18,IF(COUNTIF('Knockout &amp; Winner'!$G$50:$G$51,L26)&gt;0,12,IF(COUNTIF('Knockout &amp; Winner'!$G$43:$G$46,L26)&gt;0,8,IF(COUNTIF('Knockout &amp; Winner'!$G$32:$G$39,L26)&gt;0,5,IF(COUNTIF('Knockout &amp; Winner'!$G$13:$G$28,L26)&gt;0,3,0)))))))</f>
        <v>0</v>
      </c>
      <c r="P26">
        <f t="shared" si="5"/>
        <v>0</v>
      </c>
      <c r="Q26" t="str">
        <f>IF(OR(COUNTIF('Knockout &amp; Winner'!$G$13:$G$28,L26)&gt;0,COUNTIF('Knockout &amp; Winner'!$G$32:$G$39,L26)&gt;0,COUNTIF('Knockout &amp; Winner'!$G$43:$G$46,L26)&gt;0,COUNTIF('Knockout &amp; Winner'!$G$50:$G$51,L26)&gt;0,'Knockout &amp; Winner'!$G$55=L26,'Knockout &amp; Winner'!$G$59=L26),"Yes","")</f>
        <v/>
      </c>
    </row>
    <row r="27" spans="1:17" x14ac:dyDescent="0.2">
      <c r="A27" s="41" t="str">
        <f t="shared" si="6"/>
        <v>Qatar</v>
      </c>
      <c r="B27" s="58">
        <f t="shared" si="7"/>
        <v>0</v>
      </c>
      <c r="C27" s="58" t="s">
        <v>52</v>
      </c>
      <c r="D27" s="58">
        <f t="shared" si="8"/>
        <v>0</v>
      </c>
      <c r="E27" s="59" t="str">
        <f>IF(O16=25,"Champion",IF(OR('Knockout &amp; Winner'!$B$59=L16,'Knockout &amp; Winner'!$E$59=L16),"Finalist",IF(O16=15,"3rd Place",IF(O16=12,"Semi-final",IF(O16=8,"Quarter-final",IF(O16=5,"Round of 16",IF(O16=3,"Round of 32","—")))))))</f>
        <v>—</v>
      </c>
      <c r="F27" s="58">
        <f t="shared" si="9"/>
        <v>0</v>
      </c>
      <c r="G27" s="60">
        <f t="shared" si="10"/>
        <v>0</v>
      </c>
      <c r="L27" t="s">
        <v>55</v>
      </c>
      <c r="M27">
        <f>IFERROR(VLOOKUP(L27,'Participating Teams'!$B$4:$F$51,5,FALSE),"")</f>
        <v>0</v>
      </c>
      <c r="N27">
        <f>IFERROR(INDEX('Group Stage'!$I$1:$I$200,MATCH(L27,'Group Stage'!$A$1:$A$200,0)),0)</f>
        <v>0</v>
      </c>
      <c r="O27">
        <f>IF(AND('Knockout &amp; Winner'!$G$59&lt;&gt;"",'Knockout &amp; Winner'!$G$59=L27),25,IF(AND('Knockout &amp; Winner'!$G$55&lt;&gt;"",'Knockout &amp; Winner'!$G$55=L27),15,IF(OR(AND('Knockout &amp; Winner'!$B$59&lt;&gt;"",'Knockout &amp; Winner'!$B$59=L27),AND('Knockout &amp; Winner'!$E$59&lt;&gt;"",'Knockout &amp; Winner'!$E$59=L27)),18,IF(COUNTIF('Knockout &amp; Winner'!$G$50:$G$51,L27)&gt;0,12,IF(COUNTIF('Knockout &amp; Winner'!$G$43:$G$46,L27)&gt;0,8,IF(COUNTIF('Knockout &amp; Winner'!$G$32:$G$39,L27)&gt;0,5,IF(COUNTIF('Knockout &amp; Winner'!$G$13:$G$28,L27)&gt;0,3,0)))))))</f>
        <v>0</v>
      </c>
      <c r="P27">
        <f t="shared" si="5"/>
        <v>0</v>
      </c>
      <c r="Q27" t="str">
        <f>IF(OR(COUNTIF('Knockout &amp; Winner'!$G$13:$G$28,L27)&gt;0,COUNTIF('Knockout &amp; Winner'!$G$32:$G$39,L27)&gt;0,COUNTIF('Knockout &amp; Winner'!$G$43:$G$46,L27)&gt;0,COUNTIF('Knockout &amp; Winner'!$G$50:$G$51,L27)&gt;0,'Knockout &amp; Winner'!$G$55=L27,'Knockout &amp; Winner'!$G$59=L27),"Yes","")</f>
        <v/>
      </c>
    </row>
    <row r="28" spans="1:17" x14ac:dyDescent="0.2">
      <c r="A28" s="61" t="str">
        <f t="shared" si="6"/>
        <v>Bosnia and Herzegovina</v>
      </c>
      <c r="B28" s="62">
        <f t="shared" si="7"/>
        <v>0</v>
      </c>
      <c r="C28" s="62" t="s">
        <v>52</v>
      </c>
      <c r="D28" s="62">
        <f t="shared" si="8"/>
        <v>0</v>
      </c>
      <c r="E28" s="63" t="str">
        <f>IF(O17=25,"Champion",IF(OR('Knockout &amp; Winner'!$B$59=L17,'Knockout &amp; Winner'!$E$59=L17),"Finalist",IF(O17=15,"3rd Place",IF(O17=12,"Semi-final",IF(O17=8,"Quarter-final",IF(O17=5,"Round of 16",IF(O17=3,"Round of 32","—")))))))</f>
        <v>—</v>
      </c>
      <c r="F28" s="62">
        <f t="shared" si="9"/>
        <v>0</v>
      </c>
      <c r="G28" s="60">
        <f t="shared" si="10"/>
        <v>0</v>
      </c>
      <c r="L28" t="s">
        <v>56</v>
      </c>
      <c r="M28">
        <f>IFERROR(VLOOKUP(L28,'Participating Teams'!$B$4:$F$51,5,FALSE),"")</f>
        <v>0</v>
      </c>
      <c r="N28">
        <f>IFERROR(INDEX('Group Stage'!$I$1:$I$200,MATCH(L28,'Group Stage'!$A$1:$A$200,0)),0)</f>
        <v>0</v>
      </c>
      <c r="O28">
        <f>IF(AND('Knockout &amp; Winner'!$G$59&lt;&gt;"",'Knockout &amp; Winner'!$G$59=L28),25,IF(AND('Knockout &amp; Winner'!$G$55&lt;&gt;"",'Knockout &amp; Winner'!$G$55=L28),15,IF(OR(AND('Knockout &amp; Winner'!$B$59&lt;&gt;"",'Knockout &amp; Winner'!$B$59=L28),AND('Knockout &amp; Winner'!$E$59&lt;&gt;"",'Knockout &amp; Winner'!$E$59=L28)),18,IF(COUNTIF('Knockout &amp; Winner'!$G$50:$G$51,L28)&gt;0,12,IF(COUNTIF('Knockout &amp; Winner'!$G$43:$G$46,L28)&gt;0,8,IF(COUNTIF('Knockout &amp; Winner'!$G$32:$G$39,L28)&gt;0,5,IF(COUNTIF('Knockout &amp; Winner'!$G$13:$G$28,L28)&gt;0,3,0)))))))</f>
        <v>0</v>
      </c>
      <c r="P28">
        <f t="shared" si="5"/>
        <v>0</v>
      </c>
      <c r="Q28" t="str">
        <f>IF(OR(COUNTIF('Knockout &amp; Winner'!$G$13:$G$28,L28)&gt;0,COUNTIF('Knockout &amp; Winner'!$G$32:$G$39,L28)&gt;0,COUNTIF('Knockout &amp; Winner'!$G$43:$G$46,L28)&gt;0,COUNTIF('Knockout &amp; Winner'!$G$50:$G$51,L28)&gt;0,'Knockout &amp; Winner'!$G$55=L28,'Knockout &amp; Winner'!$G$59=L28),"Yes","")</f>
        <v/>
      </c>
    </row>
    <row r="29" spans="1:17" x14ac:dyDescent="0.2">
      <c r="A29" s="41" t="str">
        <f t="shared" si="6"/>
        <v>Brazil</v>
      </c>
      <c r="B29" s="58">
        <f t="shared" si="7"/>
        <v>0</v>
      </c>
      <c r="C29" s="58" t="s">
        <v>57</v>
      </c>
      <c r="D29" s="58">
        <f t="shared" si="8"/>
        <v>0</v>
      </c>
      <c r="E29" s="59" t="str">
        <f>IF(O18=25,"Champion",IF(OR('Knockout &amp; Winner'!$B$59=L18,'Knockout &amp; Winner'!$E$59=L18),"Finalist",IF(O18=15,"3rd Place",IF(O18=12,"Semi-final",IF(O18=8,"Quarter-final",IF(O18=5,"Round of 16",IF(O18=3,"Round of 32","—")))))))</f>
        <v>—</v>
      </c>
      <c r="F29" s="58">
        <f t="shared" si="9"/>
        <v>0</v>
      </c>
      <c r="G29" s="60">
        <f t="shared" si="10"/>
        <v>0</v>
      </c>
      <c r="L29" t="s">
        <v>58</v>
      </c>
      <c r="M29">
        <f>IFERROR(VLOOKUP(L29,'Participating Teams'!$B$4:$F$51,5,FALSE),"")</f>
        <v>0</v>
      </c>
      <c r="N29">
        <f>IFERROR(INDEX('Group Stage'!$I$1:$I$200,MATCH(L29,'Group Stage'!$A$1:$A$200,0)),0)</f>
        <v>0</v>
      </c>
      <c r="O29">
        <f>IF(AND('Knockout &amp; Winner'!$G$59&lt;&gt;"",'Knockout &amp; Winner'!$G$59=L29),25,IF(AND('Knockout &amp; Winner'!$G$55&lt;&gt;"",'Knockout &amp; Winner'!$G$55=L29),15,IF(OR(AND('Knockout &amp; Winner'!$B$59&lt;&gt;"",'Knockout &amp; Winner'!$B$59=L29),AND('Knockout &amp; Winner'!$E$59&lt;&gt;"",'Knockout &amp; Winner'!$E$59=L29)),18,IF(COUNTIF('Knockout &amp; Winner'!$G$50:$G$51,L29)&gt;0,12,IF(COUNTIF('Knockout &amp; Winner'!$G$43:$G$46,L29)&gt;0,8,IF(COUNTIF('Knockout &amp; Winner'!$G$32:$G$39,L29)&gt;0,5,IF(COUNTIF('Knockout &amp; Winner'!$G$13:$G$28,L29)&gt;0,3,0)))))))</f>
        <v>0</v>
      </c>
      <c r="P29">
        <f t="shared" si="5"/>
        <v>0</v>
      </c>
      <c r="Q29" t="str">
        <f>IF(OR(COUNTIF('Knockout &amp; Winner'!$G$13:$G$28,L29)&gt;0,COUNTIF('Knockout &amp; Winner'!$G$32:$G$39,L29)&gt;0,COUNTIF('Knockout &amp; Winner'!$G$43:$G$46,L29)&gt;0,COUNTIF('Knockout &amp; Winner'!$G$50:$G$51,L29)&gt;0,'Knockout &amp; Winner'!$G$55=L29,'Knockout &amp; Winner'!$G$59=L29),"Yes","")</f>
        <v/>
      </c>
    </row>
    <row r="30" spans="1:17" x14ac:dyDescent="0.2">
      <c r="A30" s="61" t="str">
        <f t="shared" si="6"/>
        <v>Morocco</v>
      </c>
      <c r="B30" s="62">
        <f t="shared" si="7"/>
        <v>0</v>
      </c>
      <c r="C30" s="62" t="s">
        <v>57</v>
      </c>
      <c r="D30" s="62">
        <f t="shared" si="8"/>
        <v>0</v>
      </c>
      <c r="E30" s="63" t="str">
        <f>IF(O19=25,"Champion",IF(OR('Knockout &amp; Winner'!$B$59=L19,'Knockout &amp; Winner'!$E$59=L19),"Finalist",IF(O19=15,"3rd Place",IF(O19=12,"Semi-final",IF(O19=8,"Quarter-final",IF(O19=5,"Round of 16",IF(O19=3,"Round of 32","—")))))))</f>
        <v>—</v>
      </c>
      <c r="F30" s="62">
        <f t="shared" si="9"/>
        <v>0</v>
      </c>
      <c r="G30" s="60">
        <f t="shared" si="10"/>
        <v>0</v>
      </c>
      <c r="L30" t="s">
        <v>59</v>
      </c>
      <c r="M30">
        <f>IFERROR(VLOOKUP(L30,'Participating Teams'!$B$4:$F$51,5,FALSE),"")</f>
        <v>0</v>
      </c>
      <c r="N30">
        <f>IFERROR(INDEX('Group Stage'!$I$1:$I$200,MATCH(L30,'Group Stage'!$A$1:$A$200,0)),0)</f>
        <v>0</v>
      </c>
      <c r="O30">
        <f>IF(AND('Knockout &amp; Winner'!$G$59&lt;&gt;"",'Knockout &amp; Winner'!$G$59=L30),25,IF(AND('Knockout &amp; Winner'!$G$55&lt;&gt;"",'Knockout &amp; Winner'!$G$55=L30),15,IF(OR(AND('Knockout &amp; Winner'!$B$59&lt;&gt;"",'Knockout &amp; Winner'!$B$59=L30),AND('Knockout &amp; Winner'!$E$59&lt;&gt;"",'Knockout &amp; Winner'!$E$59=L30)),18,IF(COUNTIF('Knockout &amp; Winner'!$G$50:$G$51,L30)&gt;0,12,IF(COUNTIF('Knockout &amp; Winner'!$G$43:$G$46,L30)&gt;0,8,IF(COUNTIF('Knockout &amp; Winner'!$G$32:$G$39,L30)&gt;0,5,IF(COUNTIF('Knockout &amp; Winner'!$G$13:$G$28,L30)&gt;0,3,0)))))))</f>
        <v>0</v>
      </c>
      <c r="P30">
        <f t="shared" si="5"/>
        <v>0</v>
      </c>
      <c r="Q30" t="str">
        <f>IF(OR(COUNTIF('Knockout &amp; Winner'!$G$13:$G$28,L30)&gt;0,COUNTIF('Knockout &amp; Winner'!$G$32:$G$39,L30)&gt;0,COUNTIF('Knockout &amp; Winner'!$G$43:$G$46,L30)&gt;0,COUNTIF('Knockout &amp; Winner'!$G$50:$G$51,L30)&gt;0,'Knockout &amp; Winner'!$G$55=L30,'Knockout &amp; Winner'!$G$59=L30),"Yes","")</f>
        <v/>
      </c>
    </row>
    <row r="31" spans="1:17" x14ac:dyDescent="0.2">
      <c r="A31" s="41" t="str">
        <f t="shared" si="6"/>
        <v>Scotland</v>
      </c>
      <c r="B31" s="58">
        <f t="shared" si="7"/>
        <v>0</v>
      </c>
      <c r="C31" s="58" t="s">
        <v>57</v>
      </c>
      <c r="D31" s="58">
        <f t="shared" si="8"/>
        <v>0</v>
      </c>
      <c r="E31" s="59" t="str">
        <f>IF(O20=25,"Champion",IF(OR('Knockout &amp; Winner'!$B$59=L20,'Knockout &amp; Winner'!$E$59=L20),"Finalist",IF(O20=15,"3rd Place",IF(O20=12,"Semi-final",IF(O20=8,"Quarter-final",IF(O20=5,"Round of 16",IF(O20=3,"Round of 32","—")))))))</f>
        <v>—</v>
      </c>
      <c r="F31" s="58">
        <f t="shared" si="9"/>
        <v>0</v>
      </c>
      <c r="G31" s="60">
        <f t="shared" si="10"/>
        <v>0</v>
      </c>
      <c r="L31" t="s">
        <v>60</v>
      </c>
      <c r="M31">
        <f>IFERROR(VLOOKUP(L31,'Participating Teams'!$B$4:$F$51,5,FALSE),"")</f>
        <v>0</v>
      </c>
      <c r="N31">
        <f>IFERROR(INDEX('Group Stage'!$I$1:$I$200,MATCH(L31,'Group Stage'!$A$1:$A$200,0)),0)</f>
        <v>0</v>
      </c>
      <c r="O31">
        <f>IF(AND('Knockout &amp; Winner'!$G$59&lt;&gt;"",'Knockout &amp; Winner'!$G$59=L31),25,IF(AND('Knockout &amp; Winner'!$G$55&lt;&gt;"",'Knockout &amp; Winner'!$G$55=L31),15,IF(OR(AND('Knockout &amp; Winner'!$B$59&lt;&gt;"",'Knockout &amp; Winner'!$B$59=L31),AND('Knockout &amp; Winner'!$E$59&lt;&gt;"",'Knockout &amp; Winner'!$E$59=L31)),18,IF(COUNTIF('Knockout &amp; Winner'!$G$50:$G$51,L31)&gt;0,12,IF(COUNTIF('Knockout &amp; Winner'!$G$43:$G$46,L31)&gt;0,8,IF(COUNTIF('Knockout &amp; Winner'!$G$32:$G$39,L31)&gt;0,5,IF(COUNTIF('Knockout &amp; Winner'!$G$13:$G$28,L31)&gt;0,3,0)))))))</f>
        <v>0</v>
      </c>
      <c r="P31">
        <f t="shared" si="5"/>
        <v>0</v>
      </c>
      <c r="Q31" t="str">
        <f>IF(OR(COUNTIF('Knockout &amp; Winner'!$G$13:$G$28,L31)&gt;0,COUNTIF('Knockout &amp; Winner'!$G$32:$G$39,L31)&gt;0,COUNTIF('Knockout &amp; Winner'!$G$43:$G$46,L31)&gt;0,COUNTIF('Knockout &amp; Winner'!$G$50:$G$51,L31)&gt;0,'Knockout &amp; Winner'!$G$55=L31,'Knockout &amp; Winner'!$G$59=L31),"Yes","")</f>
        <v/>
      </c>
    </row>
    <row r="32" spans="1:17" x14ac:dyDescent="0.2">
      <c r="A32" s="61" t="str">
        <f t="shared" si="6"/>
        <v>Haiti</v>
      </c>
      <c r="B32" s="62">
        <f t="shared" si="7"/>
        <v>0</v>
      </c>
      <c r="C32" s="62" t="s">
        <v>57</v>
      </c>
      <c r="D32" s="62">
        <f t="shared" si="8"/>
        <v>0</v>
      </c>
      <c r="E32" s="63" t="str">
        <f>IF(O21=25,"Champion",IF(OR('Knockout &amp; Winner'!$B$59=L21,'Knockout &amp; Winner'!$E$59=L21),"Finalist",IF(O21=15,"3rd Place",IF(O21=12,"Semi-final",IF(O21=8,"Quarter-final",IF(O21=5,"Round of 16",IF(O21=3,"Round of 32","—")))))))</f>
        <v>—</v>
      </c>
      <c r="F32" s="62">
        <f t="shared" si="9"/>
        <v>0</v>
      </c>
      <c r="G32" s="60">
        <f t="shared" si="10"/>
        <v>0</v>
      </c>
      <c r="L32" t="s">
        <v>61</v>
      </c>
      <c r="M32">
        <f>IFERROR(VLOOKUP(L32,'Participating Teams'!$B$4:$F$51,5,FALSE),"")</f>
        <v>0</v>
      </c>
      <c r="N32">
        <f>IFERROR(INDEX('Group Stage'!$I$1:$I$200,MATCH(L32,'Group Stage'!$A$1:$A$200,0)),0)</f>
        <v>0</v>
      </c>
      <c r="O32">
        <f>IF(AND('Knockout &amp; Winner'!$G$59&lt;&gt;"",'Knockout &amp; Winner'!$G$59=L32),25,IF(AND('Knockout &amp; Winner'!$G$55&lt;&gt;"",'Knockout &amp; Winner'!$G$55=L32),15,IF(OR(AND('Knockout &amp; Winner'!$B$59&lt;&gt;"",'Knockout &amp; Winner'!$B$59=L32),AND('Knockout &amp; Winner'!$E$59&lt;&gt;"",'Knockout &amp; Winner'!$E$59=L32)),18,IF(COUNTIF('Knockout &amp; Winner'!$G$50:$G$51,L32)&gt;0,12,IF(COUNTIF('Knockout &amp; Winner'!$G$43:$G$46,L32)&gt;0,8,IF(COUNTIF('Knockout &amp; Winner'!$G$32:$G$39,L32)&gt;0,5,IF(COUNTIF('Knockout &amp; Winner'!$G$13:$G$28,L32)&gt;0,3,0)))))))</f>
        <v>0</v>
      </c>
      <c r="P32">
        <f t="shared" si="5"/>
        <v>0</v>
      </c>
      <c r="Q32" t="str">
        <f>IF(OR(COUNTIF('Knockout &amp; Winner'!$G$13:$G$28,L32)&gt;0,COUNTIF('Knockout &amp; Winner'!$G$32:$G$39,L32)&gt;0,COUNTIF('Knockout &amp; Winner'!$G$43:$G$46,L32)&gt;0,COUNTIF('Knockout &amp; Winner'!$G$50:$G$51,L32)&gt;0,'Knockout &amp; Winner'!$G$55=L32,'Knockout &amp; Winner'!$G$59=L32),"Yes","")</f>
        <v/>
      </c>
    </row>
    <row r="33" spans="1:17" x14ac:dyDescent="0.2">
      <c r="A33" s="41" t="str">
        <f t="shared" si="6"/>
        <v>United States</v>
      </c>
      <c r="B33" s="58">
        <f t="shared" si="7"/>
        <v>0</v>
      </c>
      <c r="C33" s="58" t="s">
        <v>62</v>
      </c>
      <c r="D33" s="58">
        <f t="shared" si="8"/>
        <v>0</v>
      </c>
      <c r="E33" s="59" t="str">
        <f>IF(O22=25,"Champion",IF(OR('Knockout &amp; Winner'!$B$59=L22,'Knockout &amp; Winner'!$E$59=L22),"Finalist",IF(O22=15,"3rd Place",IF(O22=12,"Semi-final",IF(O22=8,"Quarter-final",IF(O22=5,"Round of 16",IF(O22=3,"Round of 32","—")))))))</f>
        <v>—</v>
      </c>
      <c r="F33" s="58">
        <f t="shared" si="9"/>
        <v>0</v>
      </c>
      <c r="G33" s="60">
        <f t="shared" si="10"/>
        <v>0</v>
      </c>
      <c r="L33" t="s">
        <v>63</v>
      </c>
      <c r="M33">
        <f>IFERROR(VLOOKUP(L33,'Participating Teams'!$B$4:$F$51,5,FALSE),"")</f>
        <v>0</v>
      </c>
      <c r="N33">
        <f>IFERROR(INDEX('Group Stage'!$I$1:$I$200,MATCH(L33,'Group Stage'!$A$1:$A$200,0)),0)</f>
        <v>0</v>
      </c>
      <c r="O33">
        <f>IF(AND('Knockout &amp; Winner'!$G$59&lt;&gt;"",'Knockout &amp; Winner'!$G$59=L33),25,IF(AND('Knockout &amp; Winner'!$G$55&lt;&gt;"",'Knockout &amp; Winner'!$G$55=L33),15,IF(OR(AND('Knockout &amp; Winner'!$B$59&lt;&gt;"",'Knockout &amp; Winner'!$B$59=L33),AND('Knockout &amp; Winner'!$E$59&lt;&gt;"",'Knockout &amp; Winner'!$E$59=L33)),18,IF(COUNTIF('Knockout &amp; Winner'!$G$50:$G$51,L33)&gt;0,12,IF(COUNTIF('Knockout &amp; Winner'!$G$43:$G$46,L33)&gt;0,8,IF(COUNTIF('Knockout &amp; Winner'!$G$32:$G$39,L33)&gt;0,5,IF(COUNTIF('Knockout &amp; Winner'!$G$13:$G$28,L33)&gt;0,3,0)))))))</f>
        <v>0</v>
      </c>
      <c r="P33">
        <f t="shared" si="5"/>
        <v>0</v>
      </c>
      <c r="Q33" t="str">
        <f>IF(OR(COUNTIF('Knockout &amp; Winner'!$G$13:$G$28,L33)&gt;0,COUNTIF('Knockout &amp; Winner'!$G$32:$G$39,L33)&gt;0,COUNTIF('Knockout &amp; Winner'!$G$43:$G$46,L33)&gt;0,COUNTIF('Knockout &amp; Winner'!$G$50:$G$51,L33)&gt;0,'Knockout &amp; Winner'!$G$55=L33,'Knockout &amp; Winner'!$G$59=L33),"Yes","")</f>
        <v/>
      </c>
    </row>
    <row r="34" spans="1:17" x14ac:dyDescent="0.2">
      <c r="A34" s="61" t="str">
        <f t="shared" si="6"/>
        <v>Paraguay</v>
      </c>
      <c r="B34" s="62">
        <f t="shared" si="7"/>
        <v>0</v>
      </c>
      <c r="C34" s="62" t="s">
        <v>62</v>
      </c>
      <c r="D34" s="62">
        <f t="shared" si="8"/>
        <v>0</v>
      </c>
      <c r="E34" s="63" t="str">
        <f>IF(O23=25,"Champion",IF(OR('Knockout &amp; Winner'!$B$59=L23,'Knockout &amp; Winner'!$E$59=L23),"Finalist",IF(O23=15,"3rd Place",IF(O23=12,"Semi-final",IF(O23=8,"Quarter-final",IF(O23=5,"Round of 16",IF(O23=3,"Round of 32","—")))))))</f>
        <v>—</v>
      </c>
      <c r="F34" s="62">
        <f t="shared" si="9"/>
        <v>0</v>
      </c>
      <c r="G34" s="60">
        <f t="shared" si="10"/>
        <v>0</v>
      </c>
      <c r="L34" t="s">
        <v>64</v>
      </c>
      <c r="M34">
        <f>IFERROR(VLOOKUP(L34,'Participating Teams'!$B$4:$F$51,5,FALSE),"")</f>
        <v>0</v>
      </c>
      <c r="N34">
        <f>IFERROR(INDEX('Group Stage'!$I$1:$I$200,MATCH(L34,'Group Stage'!$A$1:$A$200,0)),0)</f>
        <v>0</v>
      </c>
      <c r="O34">
        <f>IF(AND('Knockout &amp; Winner'!$G$59&lt;&gt;"",'Knockout &amp; Winner'!$G$59=L34),25,IF(AND('Knockout &amp; Winner'!$G$55&lt;&gt;"",'Knockout &amp; Winner'!$G$55=L34),15,IF(OR(AND('Knockout &amp; Winner'!$B$59&lt;&gt;"",'Knockout &amp; Winner'!$B$59=L34),AND('Knockout &amp; Winner'!$E$59&lt;&gt;"",'Knockout &amp; Winner'!$E$59=L34)),18,IF(COUNTIF('Knockout &amp; Winner'!$G$50:$G$51,L34)&gt;0,12,IF(COUNTIF('Knockout &amp; Winner'!$G$43:$G$46,L34)&gt;0,8,IF(COUNTIF('Knockout &amp; Winner'!$G$32:$G$39,L34)&gt;0,5,IF(COUNTIF('Knockout &amp; Winner'!$G$13:$G$28,L34)&gt;0,3,0)))))))</f>
        <v>0</v>
      </c>
      <c r="P34">
        <f t="shared" si="5"/>
        <v>0</v>
      </c>
      <c r="Q34" t="str">
        <f>IF(OR(COUNTIF('Knockout &amp; Winner'!$G$13:$G$28,L34)&gt;0,COUNTIF('Knockout &amp; Winner'!$G$32:$G$39,L34)&gt;0,COUNTIF('Knockout &amp; Winner'!$G$43:$G$46,L34)&gt;0,COUNTIF('Knockout &amp; Winner'!$G$50:$G$51,L34)&gt;0,'Knockout &amp; Winner'!$G$55=L34,'Knockout &amp; Winner'!$G$59=L34),"Yes","")</f>
        <v/>
      </c>
    </row>
    <row r="35" spans="1:17" x14ac:dyDescent="0.2">
      <c r="A35" s="41" t="str">
        <f t="shared" si="6"/>
        <v>Australia</v>
      </c>
      <c r="B35" s="58">
        <f t="shared" si="7"/>
        <v>0</v>
      </c>
      <c r="C35" s="58" t="s">
        <v>62</v>
      </c>
      <c r="D35" s="58">
        <f t="shared" si="8"/>
        <v>0</v>
      </c>
      <c r="E35" s="59" t="str">
        <f>IF(O24=25,"Champion",IF(OR('Knockout &amp; Winner'!$B$59=L24,'Knockout &amp; Winner'!$E$59=L24),"Finalist",IF(O24=15,"3rd Place",IF(O24=12,"Semi-final",IF(O24=8,"Quarter-final",IF(O24=5,"Round of 16",IF(O24=3,"Round of 32","—")))))))</f>
        <v>—</v>
      </c>
      <c r="F35" s="58">
        <f t="shared" si="9"/>
        <v>0</v>
      </c>
      <c r="G35" s="60">
        <f t="shared" si="10"/>
        <v>0</v>
      </c>
      <c r="L35" t="s">
        <v>65</v>
      </c>
      <c r="M35">
        <f>IFERROR(VLOOKUP(L35,'Participating Teams'!$B$4:$F$51,5,FALSE),"")</f>
        <v>0</v>
      </c>
      <c r="N35">
        <f>IFERROR(INDEX('Group Stage'!$I$1:$I$200,MATCH(L35,'Group Stage'!$A$1:$A$200,0)),0)</f>
        <v>0</v>
      </c>
      <c r="O35">
        <f>IF(AND('Knockout &amp; Winner'!$G$59&lt;&gt;"",'Knockout &amp; Winner'!$G$59=L35),25,IF(AND('Knockout &amp; Winner'!$G$55&lt;&gt;"",'Knockout &amp; Winner'!$G$55=L35),15,IF(OR(AND('Knockout &amp; Winner'!$B$59&lt;&gt;"",'Knockout &amp; Winner'!$B$59=L35),AND('Knockout &amp; Winner'!$E$59&lt;&gt;"",'Knockout &amp; Winner'!$E$59=L35)),18,IF(COUNTIF('Knockout &amp; Winner'!$G$50:$G$51,L35)&gt;0,12,IF(COUNTIF('Knockout &amp; Winner'!$G$43:$G$46,L35)&gt;0,8,IF(COUNTIF('Knockout &amp; Winner'!$G$32:$G$39,L35)&gt;0,5,IF(COUNTIF('Knockout &amp; Winner'!$G$13:$G$28,L35)&gt;0,3,0)))))))</f>
        <v>0</v>
      </c>
      <c r="P35">
        <f t="shared" si="5"/>
        <v>0</v>
      </c>
      <c r="Q35" t="str">
        <f>IF(OR(COUNTIF('Knockout &amp; Winner'!$G$13:$G$28,L35)&gt;0,COUNTIF('Knockout &amp; Winner'!$G$32:$G$39,L35)&gt;0,COUNTIF('Knockout &amp; Winner'!$G$43:$G$46,L35)&gt;0,COUNTIF('Knockout &amp; Winner'!$G$50:$G$51,L35)&gt;0,'Knockout &amp; Winner'!$G$55=L35,'Knockout &amp; Winner'!$G$59=L35),"Yes","")</f>
        <v/>
      </c>
    </row>
    <row r="36" spans="1:17" x14ac:dyDescent="0.2">
      <c r="A36" s="61" t="str">
        <f t="shared" si="6"/>
        <v>Türkiye</v>
      </c>
      <c r="B36" s="62">
        <f t="shared" si="7"/>
        <v>0</v>
      </c>
      <c r="C36" s="62" t="s">
        <v>62</v>
      </c>
      <c r="D36" s="62">
        <f t="shared" si="8"/>
        <v>0</v>
      </c>
      <c r="E36" s="63" t="str">
        <f>IF(O25=25,"Champion",IF(OR('Knockout &amp; Winner'!$B$59=L25,'Knockout &amp; Winner'!$E$59=L25),"Finalist",IF(O25=15,"3rd Place",IF(O25=12,"Semi-final",IF(O25=8,"Quarter-final",IF(O25=5,"Round of 16",IF(O25=3,"Round of 32","—")))))))</f>
        <v>—</v>
      </c>
      <c r="F36" s="62">
        <f t="shared" si="9"/>
        <v>0</v>
      </c>
      <c r="G36" s="60">
        <f t="shared" si="10"/>
        <v>0</v>
      </c>
      <c r="L36" t="s">
        <v>66</v>
      </c>
      <c r="M36">
        <f>IFERROR(VLOOKUP(L36,'Participating Teams'!$B$4:$F$51,5,FALSE),"")</f>
        <v>0</v>
      </c>
      <c r="N36">
        <f>IFERROR(INDEX('Group Stage'!$I$1:$I$200,MATCH(L36,'Group Stage'!$A$1:$A$200,0)),0)</f>
        <v>0</v>
      </c>
      <c r="O36">
        <f>IF(AND('Knockout &amp; Winner'!$G$59&lt;&gt;"",'Knockout &amp; Winner'!$G$59=L36),25,IF(AND('Knockout &amp; Winner'!$G$55&lt;&gt;"",'Knockout &amp; Winner'!$G$55=L36),15,IF(OR(AND('Knockout &amp; Winner'!$B$59&lt;&gt;"",'Knockout &amp; Winner'!$B$59=L36),AND('Knockout &amp; Winner'!$E$59&lt;&gt;"",'Knockout &amp; Winner'!$E$59=L36)),18,IF(COUNTIF('Knockout &amp; Winner'!$G$50:$G$51,L36)&gt;0,12,IF(COUNTIF('Knockout &amp; Winner'!$G$43:$G$46,L36)&gt;0,8,IF(COUNTIF('Knockout &amp; Winner'!$G$32:$G$39,L36)&gt;0,5,IF(COUNTIF('Knockout &amp; Winner'!$G$13:$G$28,L36)&gt;0,3,0)))))))</f>
        <v>0</v>
      </c>
      <c r="P36">
        <f t="shared" si="5"/>
        <v>0</v>
      </c>
      <c r="Q36" t="str">
        <f>IF(OR(COUNTIF('Knockout &amp; Winner'!$G$13:$G$28,L36)&gt;0,COUNTIF('Knockout &amp; Winner'!$G$32:$G$39,L36)&gt;0,COUNTIF('Knockout &amp; Winner'!$G$43:$G$46,L36)&gt;0,COUNTIF('Knockout &amp; Winner'!$G$50:$G$51,L36)&gt;0,'Knockout &amp; Winner'!$G$55=L36,'Knockout &amp; Winner'!$G$59=L36),"Yes","")</f>
        <v/>
      </c>
    </row>
    <row r="37" spans="1:17" x14ac:dyDescent="0.2">
      <c r="A37" s="41" t="str">
        <f t="shared" si="6"/>
        <v>Germany</v>
      </c>
      <c r="B37" s="58">
        <f t="shared" si="7"/>
        <v>0</v>
      </c>
      <c r="C37" s="58" t="s">
        <v>67</v>
      </c>
      <c r="D37" s="58">
        <f t="shared" si="8"/>
        <v>0</v>
      </c>
      <c r="E37" s="59" t="str">
        <f>IF(O26=25,"Champion",IF(OR('Knockout &amp; Winner'!$B$59=L26,'Knockout &amp; Winner'!$E$59=L26),"Finalist",IF(O26=15,"3rd Place",IF(O26=12,"Semi-final",IF(O26=8,"Quarter-final",IF(O26=5,"Round of 16",IF(O26=3,"Round of 32","—")))))))</f>
        <v>—</v>
      </c>
      <c r="F37" s="58">
        <f t="shared" si="9"/>
        <v>0</v>
      </c>
      <c r="G37" s="60">
        <f t="shared" si="10"/>
        <v>0</v>
      </c>
      <c r="L37" t="s">
        <v>68</v>
      </c>
      <c r="M37">
        <f>IFERROR(VLOOKUP(L37,'Participating Teams'!$B$4:$F$51,5,FALSE),"")</f>
        <v>0</v>
      </c>
      <c r="N37">
        <f>IFERROR(INDEX('Group Stage'!$I$1:$I$200,MATCH(L37,'Group Stage'!$A$1:$A$200,0)),0)</f>
        <v>0</v>
      </c>
      <c r="O37">
        <f>IF(AND('Knockout &amp; Winner'!$G$59&lt;&gt;"",'Knockout &amp; Winner'!$G$59=L37),25,IF(AND('Knockout &amp; Winner'!$G$55&lt;&gt;"",'Knockout &amp; Winner'!$G$55=L37),15,IF(OR(AND('Knockout &amp; Winner'!$B$59&lt;&gt;"",'Knockout &amp; Winner'!$B$59=L37),AND('Knockout &amp; Winner'!$E$59&lt;&gt;"",'Knockout &amp; Winner'!$E$59=L37)),18,IF(COUNTIF('Knockout &amp; Winner'!$G$50:$G$51,L37)&gt;0,12,IF(COUNTIF('Knockout &amp; Winner'!$G$43:$G$46,L37)&gt;0,8,IF(COUNTIF('Knockout &amp; Winner'!$G$32:$G$39,L37)&gt;0,5,IF(COUNTIF('Knockout &amp; Winner'!$G$13:$G$28,L37)&gt;0,3,0)))))))</f>
        <v>0</v>
      </c>
      <c r="P37">
        <f t="shared" si="5"/>
        <v>0</v>
      </c>
      <c r="Q37" t="str">
        <f>IF(OR(COUNTIF('Knockout &amp; Winner'!$G$13:$G$28,L37)&gt;0,COUNTIF('Knockout &amp; Winner'!$G$32:$G$39,L37)&gt;0,COUNTIF('Knockout &amp; Winner'!$G$43:$G$46,L37)&gt;0,COUNTIF('Knockout &amp; Winner'!$G$50:$G$51,L37)&gt;0,'Knockout &amp; Winner'!$G$55=L37,'Knockout &amp; Winner'!$G$59=L37),"Yes","")</f>
        <v/>
      </c>
    </row>
    <row r="38" spans="1:17" x14ac:dyDescent="0.2">
      <c r="A38" s="61" t="str">
        <f t="shared" si="6"/>
        <v>Ecuador</v>
      </c>
      <c r="B38" s="62">
        <f t="shared" si="7"/>
        <v>0</v>
      </c>
      <c r="C38" s="62" t="s">
        <v>67</v>
      </c>
      <c r="D38" s="62">
        <f t="shared" si="8"/>
        <v>0</v>
      </c>
      <c r="E38" s="63" t="str">
        <f>IF(O27=25,"Champion",IF(OR('Knockout &amp; Winner'!$B$59=L27,'Knockout &amp; Winner'!$E$59=L27),"Finalist",IF(O27=15,"3rd Place",IF(O27=12,"Semi-final",IF(O27=8,"Quarter-final",IF(O27=5,"Round of 16",IF(O27=3,"Round of 32","—")))))))</f>
        <v>—</v>
      </c>
      <c r="F38" s="62">
        <f t="shared" si="9"/>
        <v>0</v>
      </c>
      <c r="G38" s="60">
        <f t="shared" si="10"/>
        <v>0</v>
      </c>
      <c r="L38" t="s">
        <v>69</v>
      </c>
      <c r="M38">
        <f>IFERROR(VLOOKUP(L38,'Participating Teams'!$B$4:$F$51,5,FALSE),"")</f>
        <v>0</v>
      </c>
      <c r="N38">
        <f>IFERROR(INDEX('Group Stage'!$I$1:$I$200,MATCH(L38,'Group Stage'!$A$1:$A$200,0)),0)</f>
        <v>0</v>
      </c>
      <c r="O38">
        <f>IF(AND('Knockout &amp; Winner'!$G$59&lt;&gt;"",'Knockout &amp; Winner'!$G$59=L38),25,IF(AND('Knockout &amp; Winner'!$G$55&lt;&gt;"",'Knockout &amp; Winner'!$G$55=L38),15,IF(OR(AND('Knockout &amp; Winner'!$B$59&lt;&gt;"",'Knockout &amp; Winner'!$B$59=L38),AND('Knockout &amp; Winner'!$E$59&lt;&gt;"",'Knockout &amp; Winner'!$E$59=L38)),18,IF(COUNTIF('Knockout &amp; Winner'!$G$50:$G$51,L38)&gt;0,12,IF(COUNTIF('Knockout &amp; Winner'!$G$43:$G$46,L38)&gt;0,8,IF(COUNTIF('Knockout &amp; Winner'!$G$32:$G$39,L38)&gt;0,5,IF(COUNTIF('Knockout &amp; Winner'!$G$13:$G$28,L38)&gt;0,3,0)))))))</f>
        <v>0</v>
      </c>
      <c r="P38">
        <f t="shared" si="5"/>
        <v>0</v>
      </c>
      <c r="Q38" t="str">
        <f>IF(OR(COUNTIF('Knockout &amp; Winner'!$G$13:$G$28,L38)&gt;0,COUNTIF('Knockout &amp; Winner'!$G$32:$G$39,L38)&gt;0,COUNTIF('Knockout &amp; Winner'!$G$43:$G$46,L38)&gt;0,COUNTIF('Knockout &amp; Winner'!$G$50:$G$51,L38)&gt;0,'Knockout &amp; Winner'!$G$55=L38,'Knockout &amp; Winner'!$G$59=L38),"Yes","")</f>
        <v/>
      </c>
    </row>
    <row r="39" spans="1:17" x14ac:dyDescent="0.2">
      <c r="A39" s="41" t="str">
        <f t="shared" si="6"/>
        <v>Côte d'Ivoire</v>
      </c>
      <c r="B39" s="58">
        <f t="shared" si="7"/>
        <v>0</v>
      </c>
      <c r="C39" s="58" t="s">
        <v>67</v>
      </c>
      <c r="D39" s="58">
        <f t="shared" si="8"/>
        <v>0</v>
      </c>
      <c r="E39" s="59" t="str">
        <f>IF(O28=25,"Champion",IF(OR('Knockout &amp; Winner'!$B$59=L28,'Knockout &amp; Winner'!$E$59=L28),"Finalist",IF(O28=15,"3rd Place",IF(O28=12,"Semi-final",IF(O28=8,"Quarter-final",IF(O28=5,"Round of 16",IF(O28=3,"Round of 32","—")))))))</f>
        <v>—</v>
      </c>
      <c r="F39" s="58">
        <f t="shared" si="9"/>
        <v>0</v>
      </c>
      <c r="G39" s="60">
        <f t="shared" si="10"/>
        <v>0</v>
      </c>
      <c r="L39" t="s">
        <v>70</v>
      </c>
      <c r="M39">
        <f>IFERROR(VLOOKUP(L39,'Participating Teams'!$B$4:$F$51,5,FALSE),"")</f>
        <v>0</v>
      </c>
      <c r="N39">
        <f>IFERROR(INDEX('Group Stage'!$I$1:$I$200,MATCH(L39,'Group Stage'!$A$1:$A$200,0)),0)</f>
        <v>0</v>
      </c>
      <c r="O39">
        <f>IF(AND('Knockout &amp; Winner'!$G$59&lt;&gt;"",'Knockout &amp; Winner'!$G$59=L39),25,IF(AND('Knockout &amp; Winner'!$G$55&lt;&gt;"",'Knockout &amp; Winner'!$G$55=L39),15,IF(OR(AND('Knockout &amp; Winner'!$B$59&lt;&gt;"",'Knockout &amp; Winner'!$B$59=L39),AND('Knockout &amp; Winner'!$E$59&lt;&gt;"",'Knockout &amp; Winner'!$E$59=L39)),18,IF(COUNTIF('Knockout &amp; Winner'!$G$50:$G$51,L39)&gt;0,12,IF(COUNTIF('Knockout &amp; Winner'!$G$43:$G$46,L39)&gt;0,8,IF(COUNTIF('Knockout &amp; Winner'!$G$32:$G$39,L39)&gt;0,5,IF(COUNTIF('Knockout &amp; Winner'!$G$13:$G$28,L39)&gt;0,3,0)))))))</f>
        <v>0</v>
      </c>
      <c r="P39">
        <f t="shared" si="5"/>
        <v>0</v>
      </c>
      <c r="Q39" t="str">
        <f>IF(OR(COUNTIF('Knockout &amp; Winner'!$G$13:$G$28,L39)&gt;0,COUNTIF('Knockout &amp; Winner'!$G$32:$G$39,L39)&gt;0,COUNTIF('Knockout &amp; Winner'!$G$43:$G$46,L39)&gt;0,COUNTIF('Knockout &amp; Winner'!$G$50:$G$51,L39)&gt;0,'Knockout &amp; Winner'!$G$55=L39,'Knockout &amp; Winner'!$G$59=L39),"Yes","")</f>
        <v/>
      </c>
    </row>
    <row r="40" spans="1:17" x14ac:dyDescent="0.2">
      <c r="A40" s="61" t="str">
        <f t="shared" si="6"/>
        <v>Curaçao</v>
      </c>
      <c r="B40" s="62">
        <f t="shared" si="7"/>
        <v>0</v>
      </c>
      <c r="C40" s="62" t="s">
        <v>67</v>
      </c>
      <c r="D40" s="62">
        <f t="shared" si="8"/>
        <v>0</v>
      </c>
      <c r="E40" s="63" t="str">
        <f>IF(O29=25,"Champion",IF(OR('Knockout &amp; Winner'!$B$59=L29,'Knockout &amp; Winner'!$E$59=L29),"Finalist",IF(O29=15,"3rd Place",IF(O29=12,"Semi-final",IF(O29=8,"Quarter-final",IF(O29=5,"Round of 16",IF(O29=3,"Round of 32","—")))))))</f>
        <v>—</v>
      </c>
      <c r="F40" s="62">
        <f t="shared" si="9"/>
        <v>0</v>
      </c>
      <c r="G40" s="60">
        <f t="shared" si="10"/>
        <v>0</v>
      </c>
      <c r="L40" t="s">
        <v>71</v>
      </c>
      <c r="M40">
        <f>IFERROR(VLOOKUP(L40,'Participating Teams'!$B$4:$F$51,5,FALSE),"")</f>
        <v>0</v>
      </c>
      <c r="N40">
        <f>IFERROR(INDEX('Group Stage'!$I$1:$I$200,MATCH(L40,'Group Stage'!$A$1:$A$200,0)),0)</f>
        <v>0</v>
      </c>
      <c r="O40">
        <f>IF(AND('Knockout &amp; Winner'!$G$59&lt;&gt;"",'Knockout &amp; Winner'!$G$59=L40),25,IF(AND('Knockout &amp; Winner'!$G$55&lt;&gt;"",'Knockout &amp; Winner'!$G$55=L40),15,IF(OR(AND('Knockout &amp; Winner'!$B$59&lt;&gt;"",'Knockout &amp; Winner'!$B$59=L40),AND('Knockout &amp; Winner'!$E$59&lt;&gt;"",'Knockout &amp; Winner'!$E$59=L40)),18,IF(COUNTIF('Knockout &amp; Winner'!$G$50:$G$51,L40)&gt;0,12,IF(COUNTIF('Knockout &amp; Winner'!$G$43:$G$46,L40)&gt;0,8,IF(COUNTIF('Knockout &amp; Winner'!$G$32:$G$39,L40)&gt;0,5,IF(COUNTIF('Knockout &amp; Winner'!$G$13:$G$28,L40)&gt;0,3,0)))))))</f>
        <v>0</v>
      </c>
      <c r="P40">
        <f t="shared" si="5"/>
        <v>0</v>
      </c>
      <c r="Q40" t="str">
        <f>IF(OR(COUNTIF('Knockout &amp; Winner'!$G$13:$G$28,L40)&gt;0,COUNTIF('Knockout &amp; Winner'!$G$32:$G$39,L40)&gt;0,COUNTIF('Knockout &amp; Winner'!$G$43:$G$46,L40)&gt;0,COUNTIF('Knockout &amp; Winner'!$G$50:$G$51,L40)&gt;0,'Knockout &amp; Winner'!$G$55=L40,'Knockout &amp; Winner'!$G$59=L40),"Yes","")</f>
        <v/>
      </c>
    </row>
    <row r="41" spans="1:17" x14ac:dyDescent="0.2">
      <c r="A41" s="41" t="str">
        <f t="shared" si="6"/>
        <v>Netherlands</v>
      </c>
      <c r="B41" s="58">
        <f t="shared" si="7"/>
        <v>0</v>
      </c>
      <c r="C41" s="58" t="s">
        <v>72</v>
      </c>
      <c r="D41" s="58">
        <f t="shared" si="8"/>
        <v>0</v>
      </c>
      <c r="E41" s="59" t="str">
        <f>IF(O30=25,"Champion",IF(OR('Knockout &amp; Winner'!$B$59=L30,'Knockout &amp; Winner'!$E$59=L30),"Finalist",IF(O30=15,"3rd Place",IF(O30=12,"Semi-final",IF(O30=8,"Quarter-final",IF(O30=5,"Round of 16",IF(O30=3,"Round of 32","—")))))))</f>
        <v>—</v>
      </c>
      <c r="F41" s="58">
        <f t="shared" si="9"/>
        <v>0</v>
      </c>
      <c r="G41" s="60">
        <f t="shared" si="10"/>
        <v>0</v>
      </c>
      <c r="L41" t="s">
        <v>73</v>
      </c>
      <c r="M41">
        <f>IFERROR(VLOOKUP(L41,'Participating Teams'!$B$4:$F$51,5,FALSE),"")</f>
        <v>0</v>
      </c>
      <c r="N41">
        <f>IFERROR(INDEX('Group Stage'!$I$1:$I$200,MATCH(L41,'Group Stage'!$A$1:$A$200,0)),0)</f>
        <v>0</v>
      </c>
      <c r="O41">
        <f>IF(AND('Knockout &amp; Winner'!$G$59&lt;&gt;"",'Knockout &amp; Winner'!$G$59=L41),25,IF(AND('Knockout &amp; Winner'!$G$55&lt;&gt;"",'Knockout &amp; Winner'!$G$55=L41),15,IF(OR(AND('Knockout &amp; Winner'!$B$59&lt;&gt;"",'Knockout &amp; Winner'!$B$59=L41),AND('Knockout &amp; Winner'!$E$59&lt;&gt;"",'Knockout &amp; Winner'!$E$59=L41)),18,IF(COUNTIF('Knockout &amp; Winner'!$G$50:$G$51,L41)&gt;0,12,IF(COUNTIF('Knockout &amp; Winner'!$G$43:$G$46,L41)&gt;0,8,IF(COUNTIF('Knockout &amp; Winner'!$G$32:$G$39,L41)&gt;0,5,IF(COUNTIF('Knockout &amp; Winner'!$G$13:$G$28,L41)&gt;0,3,0)))))))</f>
        <v>0</v>
      </c>
      <c r="P41">
        <f t="shared" si="5"/>
        <v>0</v>
      </c>
      <c r="Q41" t="str">
        <f>IF(OR(COUNTIF('Knockout &amp; Winner'!$G$13:$G$28,L41)&gt;0,COUNTIF('Knockout &amp; Winner'!$G$32:$G$39,L41)&gt;0,COUNTIF('Knockout &amp; Winner'!$G$43:$G$46,L41)&gt;0,COUNTIF('Knockout &amp; Winner'!$G$50:$G$51,L41)&gt;0,'Knockout &amp; Winner'!$G$55=L41,'Knockout &amp; Winner'!$G$59=L41),"Yes","")</f>
        <v/>
      </c>
    </row>
    <row r="42" spans="1:17" x14ac:dyDescent="0.2">
      <c r="A42" s="61" t="str">
        <f t="shared" si="6"/>
        <v>Japan</v>
      </c>
      <c r="B42" s="62">
        <f t="shared" si="7"/>
        <v>0</v>
      </c>
      <c r="C42" s="62" t="s">
        <v>72</v>
      </c>
      <c r="D42" s="62">
        <f t="shared" si="8"/>
        <v>0</v>
      </c>
      <c r="E42" s="63" t="str">
        <f>IF(O31=25,"Champion",IF(OR('Knockout &amp; Winner'!$B$59=L31,'Knockout &amp; Winner'!$E$59=L31),"Finalist",IF(O31=15,"3rd Place",IF(O31=12,"Semi-final",IF(O31=8,"Quarter-final",IF(O31=5,"Round of 16",IF(O31=3,"Round of 32","—")))))))</f>
        <v>—</v>
      </c>
      <c r="F42" s="62">
        <f t="shared" si="9"/>
        <v>0</v>
      </c>
      <c r="G42" s="60">
        <f t="shared" si="10"/>
        <v>0</v>
      </c>
      <c r="L42" t="s">
        <v>74</v>
      </c>
      <c r="M42">
        <f>IFERROR(VLOOKUP(L42,'Participating Teams'!$B$4:$F$51,5,FALSE),"")</f>
        <v>0</v>
      </c>
      <c r="N42">
        <f>IFERROR(INDEX('Group Stage'!$I$1:$I$200,MATCH(L42,'Group Stage'!$A$1:$A$200,0)),0)</f>
        <v>0</v>
      </c>
      <c r="O42">
        <f>IF(AND('Knockout &amp; Winner'!$G$59&lt;&gt;"",'Knockout &amp; Winner'!$G$59=L42),25,IF(AND('Knockout &amp; Winner'!$G$55&lt;&gt;"",'Knockout &amp; Winner'!$G$55=L42),15,IF(OR(AND('Knockout &amp; Winner'!$B$59&lt;&gt;"",'Knockout &amp; Winner'!$B$59=L42),AND('Knockout &amp; Winner'!$E$59&lt;&gt;"",'Knockout &amp; Winner'!$E$59=L42)),18,IF(COUNTIF('Knockout &amp; Winner'!$G$50:$G$51,L42)&gt;0,12,IF(COUNTIF('Knockout &amp; Winner'!$G$43:$G$46,L42)&gt;0,8,IF(COUNTIF('Knockout &amp; Winner'!$G$32:$G$39,L42)&gt;0,5,IF(COUNTIF('Knockout &amp; Winner'!$G$13:$G$28,L42)&gt;0,3,0)))))))</f>
        <v>0</v>
      </c>
      <c r="P42">
        <f t="shared" si="5"/>
        <v>0</v>
      </c>
      <c r="Q42" t="str">
        <f>IF(OR(COUNTIF('Knockout &amp; Winner'!$G$13:$G$28,L42)&gt;0,COUNTIF('Knockout &amp; Winner'!$G$32:$G$39,L42)&gt;0,COUNTIF('Knockout &amp; Winner'!$G$43:$G$46,L42)&gt;0,COUNTIF('Knockout &amp; Winner'!$G$50:$G$51,L42)&gt;0,'Knockout &amp; Winner'!$G$55=L42,'Knockout &amp; Winner'!$G$59=L42),"Yes","")</f>
        <v/>
      </c>
    </row>
    <row r="43" spans="1:17" x14ac:dyDescent="0.2">
      <c r="A43" s="41" t="str">
        <f t="shared" si="6"/>
        <v>Tunisia</v>
      </c>
      <c r="B43" s="58">
        <f t="shared" si="7"/>
        <v>0</v>
      </c>
      <c r="C43" s="58" t="s">
        <v>72</v>
      </c>
      <c r="D43" s="58">
        <f t="shared" si="8"/>
        <v>0</v>
      </c>
      <c r="E43" s="59" t="str">
        <f>IF(O32=25,"Champion",IF(OR('Knockout &amp; Winner'!$B$59=L32,'Knockout &amp; Winner'!$E$59=L32),"Finalist",IF(O32=15,"3rd Place",IF(O32=12,"Semi-final",IF(O32=8,"Quarter-final",IF(O32=5,"Round of 16",IF(O32=3,"Round of 32","—")))))))</f>
        <v>—</v>
      </c>
      <c r="F43" s="58">
        <f t="shared" si="9"/>
        <v>0</v>
      </c>
      <c r="G43" s="60">
        <f t="shared" si="10"/>
        <v>0</v>
      </c>
      <c r="L43" t="s">
        <v>75</v>
      </c>
      <c r="M43">
        <f>IFERROR(VLOOKUP(L43,'Participating Teams'!$B$4:$F$51,5,FALSE),"")</f>
        <v>0</v>
      </c>
      <c r="N43">
        <f>IFERROR(INDEX('Group Stage'!$I$1:$I$200,MATCH(L43,'Group Stage'!$A$1:$A$200,0)),0)</f>
        <v>0</v>
      </c>
      <c r="O43">
        <f>IF(AND('Knockout &amp; Winner'!$G$59&lt;&gt;"",'Knockout &amp; Winner'!$G$59=L43),25,IF(AND('Knockout &amp; Winner'!$G$55&lt;&gt;"",'Knockout &amp; Winner'!$G$55=L43),15,IF(OR(AND('Knockout &amp; Winner'!$B$59&lt;&gt;"",'Knockout &amp; Winner'!$B$59=L43),AND('Knockout &amp; Winner'!$E$59&lt;&gt;"",'Knockout &amp; Winner'!$E$59=L43)),18,IF(COUNTIF('Knockout &amp; Winner'!$G$50:$G$51,L43)&gt;0,12,IF(COUNTIF('Knockout &amp; Winner'!$G$43:$G$46,L43)&gt;0,8,IF(COUNTIF('Knockout &amp; Winner'!$G$32:$G$39,L43)&gt;0,5,IF(COUNTIF('Knockout &amp; Winner'!$G$13:$G$28,L43)&gt;0,3,0)))))))</f>
        <v>0</v>
      </c>
      <c r="P43">
        <f t="shared" si="5"/>
        <v>0</v>
      </c>
      <c r="Q43" t="str">
        <f>IF(OR(COUNTIF('Knockout &amp; Winner'!$G$13:$G$28,L43)&gt;0,COUNTIF('Knockout &amp; Winner'!$G$32:$G$39,L43)&gt;0,COUNTIF('Knockout &amp; Winner'!$G$43:$G$46,L43)&gt;0,COUNTIF('Knockout &amp; Winner'!$G$50:$G$51,L43)&gt;0,'Knockout &amp; Winner'!$G$55=L43,'Knockout &amp; Winner'!$G$59=L43),"Yes","")</f>
        <v/>
      </c>
    </row>
    <row r="44" spans="1:17" x14ac:dyDescent="0.2">
      <c r="A44" s="61" t="str">
        <f t="shared" si="6"/>
        <v>Sweden</v>
      </c>
      <c r="B44" s="62">
        <f t="shared" si="7"/>
        <v>0</v>
      </c>
      <c r="C44" s="62" t="s">
        <v>72</v>
      </c>
      <c r="D44" s="62">
        <f t="shared" si="8"/>
        <v>0</v>
      </c>
      <c r="E44" s="63" t="str">
        <f>IF(O33=25,"Champion",IF(OR('Knockout &amp; Winner'!$B$59=L33,'Knockout &amp; Winner'!$E$59=L33),"Finalist",IF(O33=15,"3rd Place",IF(O33=12,"Semi-final",IF(O33=8,"Quarter-final",IF(O33=5,"Round of 16",IF(O33=3,"Round of 32","—")))))))</f>
        <v>—</v>
      </c>
      <c r="F44" s="62">
        <f t="shared" si="9"/>
        <v>0</v>
      </c>
      <c r="G44" s="60">
        <f t="shared" si="10"/>
        <v>0</v>
      </c>
      <c r="L44" t="s">
        <v>76</v>
      </c>
      <c r="M44">
        <f>IFERROR(VLOOKUP(L44,'Participating Teams'!$B$4:$F$51,5,FALSE),"")</f>
        <v>0</v>
      </c>
      <c r="N44">
        <f>IFERROR(INDEX('Group Stage'!$I$1:$I$200,MATCH(L44,'Group Stage'!$A$1:$A$200,0)),0)</f>
        <v>0</v>
      </c>
      <c r="O44">
        <f>IF(AND('Knockout &amp; Winner'!$G$59&lt;&gt;"",'Knockout &amp; Winner'!$G$59=L44),25,IF(AND('Knockout &amp; Winner'!$G$55&lt;&gt;"",'Knockout &amp; Winner'!$G$55=L44),15,IF(OR(AND('Knockout &amp; Winner'!$B$59&lt;&gt;"",'Knockout &amp; Winner'!$B$59=L44),AND('Knockout &amp; Winner'!$E$59&lt;&gt;"",'Knockout &amp; Winner'!$E$59=L44)),18,IF(COUNTIF('Knockout &amp; Winner'!$G$50:$G$51,L44)&gt;0,12,IF(COUNTIF('Knockout &amp; Winner'!$G$43:$G$46,L44)&gt;0,8,IF(COUNTIF('Knockout &amp; Winner'!$G$32:$G$39,L44)&gt;0,5,IF(COUNTIF('Knockout &amp; Winner'!$G$13:$G$28,L44)&gt;0,3,0)))))))</f>
        <v>0</v>
      </c>
      <c r="P44">
        <f t="shared" si="5"/>
        <v>0</v>
      </c>
      <c r="Q44" t="str">
        <f>IF(OR(COUNTIF('Knockout &amp; Winner'!$G$13:$G$28,L44)&gt;0,COUNTIF('Knockout &amp; Winner'!$G$32:$G$39,L44)&gt;0,COUNTIF('Knockout &amp; Winner'!$G$43:$G$46,L44)&gt;0,COUNTIF('Knockout &amp; Winner'!$G$50:$G$51,L44)&gt;0,'Knockout &amp; Winner'!$G$55=L44,'Knockout &amp; Winner'!$G$59=L44),"Yes","")</f>
        <v/>
      </c>
    </row>
    <row r="45" spans="1:17" x14ac:dyDescent="0.2">
      <c r="A45" s="41" t="str">
        <f t="shared" si="6"/>
        <v>Belgium</v>
      </c>
      <c r="B45" s="58">
        <f t="shared" si="7"/>
        <v>0</v>
      </c>
      <c r="C45" s="58" t="s">
        <v>77</v>
      </c>
      <c r="D45" s="58">
        <f t="shared" si="8"/>
        <v>0</v>
      </c>
      <c r="E45" s="59" t="str">
        <f>IF(O34=25,"Champion",IF(OR('Knockout &amp; Winner'!$B$59=L34,'Knockout &amp; Winner'!$E$59=L34),"Finalist",IF(O34=15,"3rd Place",IF(O34=12,"Semi-final",IF(O34=8,"Quarter-final",IF(O34=5,"Round of 16",IF(O34=3,"Round of 32","—")))))))</f>
        <v>—</v>
      </c>
      <c r="F45" s="58">
        <f t="shared" si="9"/>
        <v>0</v>
      </c>
      <c r="G45" s="60">
        <f t="shared" si="10"/>
        <v>0</v>
      </c>
      <c r="L45" t="s">
        <v>78</v>
      </c>
      <c r="M45">
        <f>IFERROR(VLOOKUP(L45,'Participating Teams'!$B$4:$F$51,5,FALSE),"")</f>
        <v>0</v>
      </c>
      <c r="N45">
        <f>IFERROR(INDEX('Group Stage'!$I$1:$I$200,MATCH(L45,'Group Stage'!$A$1:$A$200,0)),0)</f>
        <v>0</v>
      </c>
      <c r="O45">
        <f>IF(AND('Knockout &amp; Winner'!$G$59&lt;&gt;"",'Knockout &amp; Winner'!$G$59=L45),25,IF(AND('Knockout &amp; Winner'!$G$55&lt;&gt;"",'Knockout &amp; Winner'!$G$55=L45),15,IF(OR(AND('Knockout &amp; Winner'!$B$59&lt;&gt;"",'Knockout &amp; Winner'!$B$59=L45),AND('Knockout &amp; Winner'!$E$59&lt;&gt;"",'Knockout &amp; Winner'!$E$59=L45)),18,IF(COUNTIF('Knockout &amp; Winner'!$G$50:$G$51,L45)&gt;0,12,IF(COUNTIF('Knockout &amp; Winner'!$G$43:$G$46,L45)&gt;0,8,IF(COUNTIF('Knockout &amp; Winner'!$G$32:$G$39,L45)&gt;0,5,IF(COUNTIF('Knockout &amp; Winner'!$G$13:$G$28,L45)&gt;0,3,0)))))))</f>
        <v>0</v>
      </c>
      <c r="P45">
        <f t="shared" si="5"/>
        <v>0</v>
      </c>
      <c r="Q45" t="str">
        <f>IF(OR(COUNTIF('Knockout &amp; Winner'!$G$13:$G$28,L45)&gt;0,COUNTIF('Knockout &amp; Winner'!$G$32:$G$39,L45)&gt;0,COUNTIF('Knockout &amp; Winner'!$G$43:$G$46,L45)&gt;0,COUNTIF('Knockout &amp; Winner'!$G$50:$G$51,L45)&gt;0,'Knockout &amp; Winner'!$G$55=L45,'Knockout &amp; Winner'!$G$59=L45),"Yes","")</f>
        <v/>
      </c>
    </row>
    <row r="46" spans="1:17" x14ac:dyDescent="0.2">
      <c r="A46" s="61" t="str">
        <f t="shared" si="6"/>
        <v>Iran</v>
      </c>
      <c r="B46" s="62">
        <f t="shared" si="7"/>
        <v>0</v>
      </c>
      <c r="C46" s="62" t="s">
        <v>77</v>
      </c>
      <c r="D46" s="62">
        <f t="shared" si="8"/>
        <v>0</v>
      </c>
      <c r="E46" s="63" t="str">
        <f>IF(O35=25,"Champion",IF(OR('Knockout &amp; Winner'!$B$59=L35,'Knockout &amp; Winner'!$E$59=L35),"Finalist",IF(O35=15,"3rd Place",IF(O35=12,"Semi-final",IF(O35=8,"Quarter-final",IF(O35=5,"Round of 16",IF(O35=3,"Round of 32","—")))))))</f>
        <v>—</v>
      </c>
      <c r="F46" s="62">
        <f t="shared" si="9"/>
        <v>0</v>
      </c>
      <c r="G46" s="60">
        <f t="shared" si="10"/>
        <v>0</v>
      </c>
      <c r="L46" t="s">
        <v>79</v>
      </c>
      <c r="M46">
        <f>IFERROR(VLOOKUP(L46,'Participating Teams'!$B$4:$F$51,5,FALSE),"")</f>
        <v>0</v>
      </c>
      <c r="N46">
        <f>IFERROR(INDEX('Group Stage'!$I$1:$I$200,MATCH(L46,'Group Stage'!$A$1:$A$200,0)),0)</f>
        <v>0</v>
      </c>
      <c r="O46">
        <f>IF(AND('Knockout &amp; Winner'!$G$59&lt;&gt;"",'Knockout &amp; Winner'!$G$59=L46),25,IF(AND('Knockout &amp; Winner'!$G$55&lt;&gt;"",'Knockout &amp; Winner'!$G$55=L46),15,IF(OR(AND('Knockout &amp; Winner'!$B$59&lt;&gt;"",'Knockout &amp; Winner'!$B$59=L46),AND('Knockout &amp; Winner'!$E$59&lt;&gt;"",'Knockout &amp; Winner'!$E$59=L46)),18,IF(COUNTIF('Knockout &amp; Winner'!$G$50:$G$51,L46)&gt;0,12,IF(COUNTIF('Knockout &amp; Winner'!$G$43:$G$46,L46)&gt;0,8,IF(COUNTIF('Knockout &amp; Winner'!$G$32:$G$39,L46)&gt;0,5,IF(COUNTIF('Knockout &amp; Winner'!$G$13:$G$28,L46)&gt;0,3,0)))))))</f>
        <v>0</v>
      </c>
      <c r="P46">
        <f t="shared" si="5"/>
        <v>0</v>
      </c>
      <c r="Q46" t="str">
        <f>IF(OR(COUNTIF('Knockout &amp; Winner'!$G$13:$G$28,L46)&gt;0,COUNTIF('Knockout &amp; Winner'!$G$32:$G$39,L46)&gt;0,COUNTIF('Knockout &amp; Winner'!$G$43:$G$46,L46)&gt;0,COUNTIF('Knockout &amp; Winner'!$G$50:$G$51,L46)&gt;0,'Knockout &amp; Winner'!$G$55=L46,'Knockout &amp; Winner'!$G$59=L46),"Yes","")</f>
        <v/>
      </c>
    </row>
    <row r="47" spans="1:17" x14ac:dyDescent="0.2">
      <c r="A47" s="41" t="str">
        <f t="shared" si="6"/>
        <v>Egypt</v>
      </c>
      <c r="B47" s="58">
        <f t="shared" si="7"/>
        <v>0</v>
      </c>
      <c r="C47" s="58" t="s">
        <v>77</v>
      </c>
      <c r="D47" s="58">
        <f t="shared" si="8"/>
        <v>0</v>
      </c>
      <c r="E47" s="59" t="str">
        <f>IF(O36=25,"Champion",IF(OR('Knockout &amp; Winner'!$B$59=L36,'Knockout &amp; Winner'!$E$59=L36),"Finalist",IF(O36=15,"3rd Place",IF(O36=12,"Semi-final",IF(O36=8,"Quarter-final",IF(O36=5,"Round of 16",IF(O36=3,"Round of 32","—")))))))</f>
        <v>—</v>
      </c>
      <c r="F47" s="58">
        <f t="shared" si="9"/>
        <v>0</v>
      </c>
      <c r="G47" s="60">
        <f t="shared" si="10"/>
        <v>0</v>
      </c>
      <c r="L47" t="s">
        <v>80</v>
      </c>
      <c r="M47">
        <f>IFERROR(VLOOKUP(L47,'Participating Teams'!$B$4:$F$51,5,FALSE),"")</f>
        <v>0</v>
      </c>
      <c r="N47">
        <f>IFERROR(INDEX('Group Stage'!$I$1:$I$200,MATCH(L47,'Group Stage'!$A$1:$A$200,0)),0)</f>
        <v>0</v>
      </c>
      <c r="O47">
        <f>IF(AND('Knockout &amp; Winner'!$G$59&lt;&gt;"",'Knockout &amp; Winner'!$G$59=L47),25,IF(AND('Knockout &amp; Winner'!$G$55&lt;&gt;"",'Knockout &amp; Winner'!$G$55=L47),15,IF(OR(AND('Knockout &amp; Winner'!$B$59&lt;&gt;"",'Knockout &amp; Winner'!$B$59=L47),AND('Knockout &amp; Winner'!$E$59&lt;&gt;"",'Knockout &amp; Winner'!$E$59=L47)),18,IF(COUNTIF('Knockout &amp; Winner'!$G$50:$G$51,L47)&gt;0,12,IF(COUNTIF('Knockout &amp; Winner'!$G$43:$G$46,L47)&gt;0,8,IF(COUNTIF('Knockout &amp; Winner'!$G$32:$G$39,L47)&gt;0,5,IF(COUNTIF('Knockout &amp; Winner'!$G$13:$G$28,L47)&gt;0,3,0)))))))</f>
        <v>0</v>
      </c>
      <c r="P47">
        <f t="shared" si="5"/>
        <v>0</v>
      </c>
      <c r="Q47" t="str">
        <f>IF(OR(COUNTIF('Knockout &amp; Winner'!$G$13:$G$28,L47)&gt;0,COUNTIF('Knockout &amp; Winner'!$G$32:$G$39,L47)&gt;0,COUNTIF('Knockout &amp; Winner'!$G$43:$G$46,L47)&gt;0,COUNTIF('Knockout &amp; Winner'!$G$50:$G$51,L47)&gt;0,'Knockout &amp; Winner'!$G$55=L47,'Knockout &amp; Winner'!$G$59=L47),"Yes","")</f>
        <v/>
      </c>
    </row>
    <row r="48" spans="1:17" x14ac:dyDescent="0.2">
      <c r="A48" s="61" t="str">
        <f t="shared" si="6"/>
        <v>New Zealand</v>
      </c>
      <c r="B48" s="62">
        <f t="shared" si="7"/>
        <v>0</v>
      </c>
      <c r="C48" s="62" t="s">
        <v>77</v>
      </c>
      <c r="D48" s="62">
        <f t="shared" si="8"/>
        <v>0</v>
      </c>
      <c r="E48" s="63" t="str">
        <f>IF(O37=25,"Champion",IF(OR('Knockout &amp; Winner'!$B$59=L37,'Knockout &amp; Winner'!$E$59=L37),"Finalist",IF(O37=15,"3rd Place",IF(O37=12,"Semi-final",IF(O37=8,"Quarter-final",IF(O37=5,"Round of 16",IF(O37=3,"Round of 32","—")))))))</f>
        <v>—</v>
      </c>
      <c r="F48" s="62">
        <f t="shared" si="9"/>
        <v>0</v>
      </c>
      <c r="G48" s="60">
        <f t="shared" si="10"/>
        <v>0</v>
      </c>
      <c r="L48" t="s">
        <v>81</v>
      </c>
      <c r="M48">
        <f>IFERROR(VLOOKUP(L48,'Participating Teams'!$B$4:$F$51,5,FALSE),"")</f>
        <v>0</v>
      </c>
      <c r="N48">
        <f>IFERROR(INDEX('Group Stage'!$I$1:$I$200,MATCH(L48,'Group Stage'!$A$1:$A$200,0)),0)</f>
        <v>0</v>
      </c>
      <c r="O48">
        <f>IF(AND('Knockout &amp; Winner'!$G$59&lt;&gt;"",'Knockout &amp; Winner'!$G$59=L48),25,IF(AND('Knockout &amp; Winner'!$G$55&lt;&gt;"",'Knockout &amp; Winner'!$G$55=L48),15,IF(OR(AND('Knockout &amp; Winner'!$B$59&lt;&gt;"",'Knockout &amp; Winner'!$B$59=L48),AND('Knockout &amp; Winner'!$E$59&lt;&gt;"",'Knockout &amp; Winner'!$E$59=L48)),18,IF(COUNTIF('Knockout &amp; Winner'!$G$50:$G$51,L48)&gt;0,12,IF(COUNTIF('Knockout &amp; Winner'!$G$43:$G$46,L48)&gt;0,8,IF(COUNTIF('Knockout &amp; Winner'!$G$32:$G$39,L48)&gt;0,5,IF(COUNTIF('Knockout &amp; Winner'!$G$13:$G$28,L48)&gt;0,3,0)))))))</f>
        <v>0</v>
      </c>
      <c r="P48">
        <f t="shared" si="5"/>
        <v>0</v>
      </c>
      <c r="Q48" t="str">
        <f>IF(OR(COUNTIF('Knockout &amp; Winner'!$G$13:$G$28,L48)&gt;0,COUNTIF('Knockout &amp; Winner'!$G$32:$G$39,L48)&gt;0,COUNTIF('Knockout &amp; Winner'!$G$43:$G$46,L48)&gt;0,COUNTIF('Knockout &amp; Winner'!$G$50:$G$51,L48)&gt;0,'Knockout &amp; Winner'!$G$55=L48,'Knockout &amp; Winner'!$G$59=L48),"Yes","")</f>
        <v/>
      </c>
    </row>
    <row r="49" spans="1:17" x14ac:dyDescent="0.2">
      <c r="A49" s="41" t="str">
        <f t="shared" si="6"/>
        <v>Spain</v>
      </c>
      <c r="B49" s="58">
        <f t="shared" si="7"/>
        <v>0</v>
      </c>
      <c r="C49" s="58" t="s">
        <v>82</v>
      </c>
      <c r="D49" s="58">
        <f t="shared" si="8"/>
        <v>0</v>
      </c>
      <c r="E49" s="59" t="str">
        <f>IF(O38=25,"Champion",IF(OR('Knockout &amp; Winner'!$B$59=L38,'Knockout &amp; Winner'!$E$59=L38),"Finalist",IF(O38=15,"3rd Place",IF(O38=12,"Semi-final",IF(O38=8,"Quarter-final",IF(O38=5,"Round of 16",IF(O38=3,"Round of 32","—")))))))</f>
        <v>—</v>
      </c>
      <c r="F49" s="58">
        <f t="shared" si="9"/>
        <v>0</v>
      </c>
      <c r="G49" s="60">
        <f t="shared" si="10"/>
        <v>0</v>
      </c>
      <c r="L49" t="s">
        <v>83</v>
      </c>
      <c r="M49">
        <f>IFERROR(VLOOKUP(L49,'Participating Teams'!$B$4:$F$51,5,FALSE),"")</f>
        <v>0</v>
      </c>
      <c r="N49">
        <f>IFERROR(INDEX('Group Stage'!$I$1:$I$200,MATCH(L49,'Group Stage'!$A$1:$A$200,0)),0)</f>
        <v>0</v>
      </c>
      <c r="O49">
        <f>IF(AND('Knockout &amp; Winner'!$G$59&lt;&gt;"",'Knockout &amp; Winner'!$G$59=L49),25,IF(AND('Knockout &amp; Winner'!$G$55&lt;&gt;"",'Knockout &amp; Winner'!$G$55=L49),15,IF(OR(AND('Knockout &amp; Winner'!$B$59&lt;&gt;"",'Knockout &amp; Winner'!$B$59=L49),AND('Knockout &amp; Winner'!$E$59&lt;&gt;"",'Knockout &amp; Winner'!$E$59=L49)),18,IF(COUNTIF('Knockout &amp; Winner'!$G$50:$G$51,L49)&gt;0,12,IF(COUNTIF('Knockout &amp; Winner'!$G$43:$G$46,L49)&gt;0,8,IF(COUNTIF('Knockout &amp; Winner'!$G$32:$G$39,L49)&gt;0,5,IF(COUNTIF('Knockout &amp; Winner'!$G$13:$G$28,L49)&gt;0,3,0)))))))</f>
        <v>0</v>
      </c>
      <c r="P49">
        <f t="shared" si="5"/>
        <v>0</v>
      </c>
      <c r="Q49" t="str">
        <f>IF(OR(COUNTIF('Knockout &amp; Winner'!$G$13:$G$28,L49)&gt;0,COUNTIF('Knockout &amp; Winner'!$G$32:$G$39,L49)&gt;0,COUNTIF('Knockout &amp; Winner'!$G$43:$G$46,L49)&gt;0,COUNTIF('Knockout &amp; Winner'!$G$50:$G$51,L49)&gt;0,'Knockout &amp; Winner'!$G$55=L49,'Knockout &amp; Winner'!$G$59=L49),"Yes","")</f>
        <v/>
      </c>
    </row>
    <row r="50" spans="1:17" x14ac:dyDescent="0.2">
      <c r="A50" s="61" t="str">
        <f t="shared" si="6"/>
        <v>Uruguay</v>
      </c>
      <c r="B50" s="62">
        <f t="shared" si="7"/>
        <v>0</v>
      </c>
      <c r="C50" s="62" t="s">
        <v>82</v>
      </c>
      <c r="D50" s="62">
        <f t="shared" si="8"/>
        <v>0</v>
      </c>
      <c r="E50" s="63" t="str">
        <f>IF(O39=25,"Champion",IF(OR('Knockout &amp; Winner'!$B$59=L39,'Knockout &amp; Winner'!$E$59=L39),"Finalist",IF(O39=15,"3rd Place",IF(O39=12,"Semi-final",IF(O39=8,"Quarter-final",IF(O39=5,"Round of 16",IF(O39=3,"Round of 32","—")))))))</f>
        <v>—</v>
      </c>
      <c r="F50" s="62">
        <f t="shared" si="9"/>
        <v>0</v>
      </c>
      <c r="G50" s="60">
        <f t="shared" si="10"/>
        <v>0</v>
      </c>
      <c r="L50" t="s">
        <v>84</v>
      </c>
      <c r="M50">
        <f>IFERROR(VLOOKUP(L50,'Participating Teams'!$B$4:$F$51,5,FALSE),"")</f>
        <v>0</v>
      </c>
      <c r="N50">
        <f>IFERROR(INDEX('Group Stage'!$I$1:$I$200,MATCH(L50,'Group Stage'!$A$1:$A$200,0)),0)</f>
        <v>0</v>
      </c>
      <c r="O50">
        <f>IF(AND('Knockout &amp; Winner'!$G$59&lt;&gt;"",'Knockout &amp; Winner'!$G$59=L50),25,IF(AND('Knockout &amp; Winner'!$G$55&lt;&gt;"",'Knockout &amp; Winner'!$G$55=L50),15,IF(OR(AND('Knockout &amp; Winner'!$B$59&lt;&gt;"",'Knockout &amp; Winner'!$B$59=L50),AND('Knockout &amp; Winner'!$E$59&lt;&gt;"",'Knockout &amp; Winner'!$E$59=L50)),18,IF(COUNTIF('Knockout &amp; Winner'!$G$50:$G$51,L50)&gt;0,12,IF(COUNTIF('Knockout &amp; Winner'!$G$43:$G$46,L50)&gt;0,8,IF(COUNTIF('Knockout &amp; Winner'!$G$32:$G$39,L50)&gt;0,5,IF(COUNTIF('Knockout &amp; Winner'!$G$13:$G$28,L50)&gt;0,3,0)))))))</f>
        <v>0</v>
      </c>
      <c r="P50">
        <f t="shared" si="5"/>
        <v>0</v>
      </c>
      <c r="Q50" t="str">
        <f>IF(OR(COUNTIF('Knockout &amp; Winner'!$G$13:$G$28,L50)&gt;0,COUNTIF('Knockout &amp; Winner'!$G$32:$G$39,L50)&gt;0,COUNTIF('Knockout &amp; Winner'!$G$43:$G$46,L50)&gt;0,COUNTIF('Knockout &amp; Winner'!$G$50:$G$51,L50)&gt;0,'Knockout &amp; Winner'!$G$55=L50,'Knockout &amp; Winner'!$G$59=L50),"Yes","")</f>
        <v/>
      </c>
    </row>
    <row r="51" spans="1:17" x14ac:dyDescent="0.2">
      <c r="A51" s="41" t="str">
        <f t="shared" si="6"/>
        <v>Saudi Arabia</v>
      </c>
      <c r="B51" s="58">
        <f t="shared" si="7"/>
        <v>0</v>
      </c>
      <c r="C51" s="58" t="s">
        <v>82</v>
      </c>
      <c r="D51" s="58">
        <f t="shared" si="8"/>
        <v>0</v>
      </c>
      <c r="E51" s="59" t="str">
        <f>IF(O40=25,"Champion",IF(OR('Knockout &amp; Winner'!$B$59=L40,'Knockout &amp; Winner'!$E$59=L40),"Finalist",IF(O40=15,"3rd Place",IF(O40=12,"Semi-final",IF(O40=8,"Quarter-final",IF(O40=5,"Round of 16",IF(O40=3,"Round of 32","—")))))))</f>
        <v>—</v>
      </c>
      <c r="F51" s="58">
        <f t="shared" si="9"/>
        <v>0</v>
      </c>
      <c r="G51" s="60">
        <f t="shared" si="10"/>
        <v>0</v>
      </c>
      <c r="L51" t="s">
        <v>85</v>
      </c>
      <c r="M51">
        <f>IFERROR(VLOOKUP(L51,'Participating Teams'!$B$4:$F$51,5,FALSE),"")</f>
        <v>0</v>
      </c>
      <c r="N51">
        <f>IFERROR(INDEX('Group Stage'!$I$1:$I$200,MATCH(L51,'Group Stage'!$A$1:$A$200,0)),0)</f>
        <v>0</v>
      </c>
      <c r="O51">
        <f>IF(AND('Knockout &amp; Winner'!$G$59&lt;&gt;"",'Knockout &amp; Winner'!$G$59=L51),25,IF(AND('Knockout &amp; Winner'!$G$55&lt;&gt;"",'Knockout &amp; Winner'!$G$55=L51),15,IF(OR(AND('Knockout &amp; Winner'!$B$59&lt;&gt;"",'Knockout &amp; Winner'!$B$59=L51),AND('Knockout &amp; Winner'!$E$59&lt;&gt;"",'Knockout &amp; Winner'!$E$59=L51)),18,IF(COUNTIF('Knockout &amp; Winner'!$G$50:$G$51,L51)&gt;0,12,IF(COUNTIF('Knockout &amp; Winner'!$G$43:$G$46,L51)&gt;0,8,IF(COUNTIF('Knockout &amp; Winner'!$G$32:$G$39,L51)&gt;0,5,IF(COUNTIF('Knockout &amp; Winner'!$G$13:$G$28,L51)&gt;0,3,0)))))))</f>
        <v>0</v>
      </c>
      <c r="P51">
        <f t="shared" si="5"/>
        <v>0</v>
      </c>
      <c r="Q51" t="str">
        <f>IF(OR(COUNTIF('Knockout &amp; Winner'!$G$13:$G$28,L51)&gt;0,COUNTIF('Knockout &amp; Winner'!$G$32:$G$39,L51)&gt;0,COUNTIF('Knockout &amp; Winner'!$G$43:$G$46,L51)&gt;0,COUNTIF('Knockout &amp; Winner'!$G$50:$G$51,L51)&gt;0,'Knockout &amp; Winner'!$G$55=L51,'Knockout &amp; Winner'!$G$59=L51),"Yes","")</f>
        <v/>
      </c>
    </row>
    <row r="52" spans="1:17" x14ac:dyDescent="0.2">
      <c r="A52" s="61" t="str">
        <f t="shared" si="6"/>
        <v>Cabo Verde</v>
      </c>
      <c r="B52" s="62">
        <f t="shared" si="7"/>
        <v>0</v>
      </c>
      <c r="C52" s="62" t="s">
        <v>82</v>
      </c>
      <c r="D52" s="62">
        <f t="shared" si="8"/>
        <v>0</v>
      </c>
      <c r="E52" s="63" t="str">
        <f>IF(O41=25,"Champion",IF(OR('Knockout &amp; Winner'!$B$59=L41,'Knockout &amp; Winner'!$E$59=L41),"Finalist",IF(O41=15,"3rd Place",IF(O41=12,"Semi-final",IF(O41=8,"Quarter-final",IF(O41=5,"Round of 16",IF(O41=3,"Round of 32","—")))))))</f>
        <v>—</v>
      </c>
      <c r="F52" s="62">
        <f t="shared" si="9"/>
        <v>0</v>
      </c>
      <c r="G52" s="60">
        <f t="shared" si="10"/>
        <v>0</v>
      </c>
      <c r="L52" t="s">
        <v>86</v>
      </c>
      <c r="M52">
        <f>IFERROR(VLOOKUP(L52,'Participating Teams'!$B$4:$F$51,5,FALSE),"")</f>
        <v>0</v>
      </c>
      <c r="N52">
        <f>IFERROR(INDEX('Group Stage'!$I$1:$I$200,MATCH(L52,'Group Stage'!$A$1:$A$200,0)),0)</f>
        <v>0</v>
      </c>
      <c r="O52">
        <f>IF(AND('Knockout &amp; Winner'!$G$59&lt;&gt;"",'Knockout &amp; Winner'!$G$59=L52),25,IF(AND('Knockout &amp; Winner'!$G$55&lt;&gt;"",'Knockout &amp; Winner'!$G$55=L52),15,IF(OR(AND('Knockout &amp; Winner'!$B$59&lt;&gt;"",'Knockout &amp; Winner'!$B$59=L52),AND('Knockout &amp; Winner'!$E$59&lt;&gt;"",'Knockout &amp; Winner'!$E$59=L52)),18,IF(COUNTIF('Knockout &amp; Winner'!$G$50:$G$51,L52)&gt;0,12,IF(COUNTIF('Knockout &amp; Winner'!$G$43:$G$46,L52)&gt;0,8,IF(COUNTIF('Knockout &amp; Winner'!$G$32:$G$39,L52)&gt;0,5,IF(COUNTIF('Knockout &amp; Winner'!$G$13:$G$28,L52)&gt;0,3,0)))))))</f>
        <v>0</v>
      </c>
      <c r="P52">
        <f t="shared" si="5"/>
        <v>0</v>
      </c>
      <c r="Q52" t="str">
        <f>IF(OR(COUNTIF('Knockout &amp; Winner'!$G$13:$G$28,L52)&gt;0,COUNTIF('Knockout &amp; Winner'!$G$32:$G$39,L52)&gt;0,COUNTIF('Knockout &amp; Winner'!$G$43:$G$46,L52)&gt;0,COUNTIF('Knockout &amp; Winner'!$G$50:$G$51,L52)&gt;0,'Knockout &amp; Winner'!$G$55=L52,'Knockout &amp; Winner'!$G$59=L52),"Yes","")</f>
        <v/>
      </c>
    </row>
    <row r="53" spans="1:17" x14ac:dyDescent="0.2">
      <c r="A53" s="41" t="str">
        <f t="shared" si="6"/>
        <v>France</v>
      </c>
      <c r="B53" s="58">
        <f t="shared" si="7"/>
        <v>0</v>
      </c>
      <c r="C53" s="58" t="s">
        <v>87</v>
      </c>
      <c r="D53" s="58">
        <f t="shared" si="8"/>
        <v>0</v>
      </c>
      <c r="E53" s="59" t="str">
        <f>IF(O42=25,"Champion",IF(OR('Knockout &amp; Winner'!$B$59=L42,'Knockout &amp; Winner'!$E$59=L42),"Finalist",IF(O42=15,"3rd Place",IF(O42=12,"Semi-final",IF(O42=8,"Quarter-final",IF(O42=5,"Round of 16",IF(O42=3,"Round of 32","—")))))))</f>
        <v>—</v>
      </c>
      <c r="F53" s="58">
        <f t="shared" si="9"/>
        <v>0</v>
      </c>
      <c r="G53" s="60">
        <f t="shared" si="10"/>
        <v>0</v>
      </c>
      <c r="L53" t="s">
        <v>88</v>
      </c>
      <c r="M53">
        <f>IFERROR(VLOOKUP(L53,'Participating Teams'!$B$4:$F$51,5,FALSE),"")</f>
        <v>0</v>
      </c>
      <c r="N53">
        <f>IFERROR(INDEX('Group Stage'!$I$1:$I$200,MATCH(L53,'Group Stage'!$A$1:$A$200,0)),0)</f>
        <v>0</v>
      </c>
      <c r="O53">
        <f>IF(AND('Knockout &amp; Winner'!$G$59&lt;&gt;"",'Knockout &amp; Winner'!$G$59=L53),25,IF(AND('Knockout &amp; Winner'!$G$55&lt;&gt;"",'Knockout &amp; Winner'!$G$55=L53),15,IF(OR(AND('Knockout &amp; Winner'!$B$59&lt;&gt;"",'Knockout &amp; Winner'!$B$59=L53),AND('Knockout &amp; Winner'!$E$59&lt;&gt;"",'Knockout &amp; Winner'!$E$59=L53)),18,IF(COUNTIF('Knockout &amp; Winner'!$G$50:$G$51,L53)&gt;0,12,IF(COUNTIF('Knockout &amp; Winner'!$G$43:$G$46,L53)&gt;0,8,IF(COUNTIF('Knockout &amp; Winner'!$G$32:$G$39,L53)&gt;0,5,IF(COUNTIF('Knockout &amp; Winner'!$G$13:$G$28,L53)&gt;0,3,0)))))))</f>
        <v>0</v>
      </c>
      <c r="P53">
        <f t="shared" si="5"/>
        <v>0</v>
      </c>
      <c r="Q53" t="str">
        <f>IF(OR(COUNTIF('Knockout &amp; Winner'!$G$13:$G$28,L53)&gt;0,COUNTIF('Knockout &amp; Winner'!$G$32:$G$39,L53)&gt;0,COUNTIF('Knockout &amp; Winner'!$G$43:$G$46,L53)&gt;0,COUNTIF('Knockout &amp; Winner'!$G$50:$G$51,L53)&gt;0,'Knockout &amp; Winner'!$G$55=L53,'Knockout &amp; Winner'!$G$59=L53),"Yes","")</f>
        <v/>
      </c>
    </row>
    <row r="54" spans="1:17" x14ac:dyDescent="0.2">
      <c r="A54" s="61" t="str">
        <f t="shared" si="6"/>
        <v>Senegal</v>
      </c>
      <c r="B54" s="62">
        <f t="shared" si="7"/>
        <v>0</v>
      </c>
      <c r="C54" s="62" t="s">
        <v>87</v>
      </c>
      <c r="D54" s="62">
        <f t="shared" si="8"/>
        <v>0</v>
      </c>
      <c r="E54" s="63" t="str">
        <f>IF(O43=25,"Champion",IF(OR('Knockout &amp; Winner'!$B$59=L43,'Knockout &amp; Winner'!$E$59=L43),"Finalist",IF(O43=15,"3rd Place",IF(O43=12,"Semi-final",IF(O43=8,"Quarter-final",IF(O43=5,"Round of 16",IF(O43=3,"Round of 32","—")))))))</f>
        <v>—</v>
      </c>
      <c r="F54" s="62">
        <f t="shared" si="9"/>
        <v>0</v>
      </c>
      <c r="G54" s="60">
        <f t="shared" si="10"/>
        <v>0</v>
      </c>
      <c r="L54" t="s">
        <v>89</v>
      </c>
      <c r="M54">
        <f>IFERROR(VLOOKUP(L54,'Participating Teams'!$B$4:$F$51,5,FALSE),"")</f>
        <v>0</v>
      </c>
      <c r="N54">
        <f>IFERROR(INDEX('Group Stage'!$I$1:$I$200,MATCH(L54,'Group Stage'!$A$1:$A$200,0)),0)</f>
        <v>0</v>
      </c>
      <c r="O54">
        <f>IF(AND('Knockout &amp; Winner'!$G$59&lt;&gt;"",'Knockout &amp; Winner'!$G$59=L54),25,IF(AND('Knockout &amp; Winner'!$G$55&lt;&gt;"",'Knockout &amp; Winner'!$G$55=L54),15,IF(OR(AND('Knockout &amp; Winner'!$B$59&lt;&gt;"",'Knockout &amp; Winner'!$B$59=L54),AND('Knockout &amp; Winner'!$E$59&lt;&gt;"",'Knockout &amp; Winner'!$E$59=L54)),18,IF(COUNTIF('Knockout &amp; Winner'!$G$50:$G$51,L54)&gt;0,12,IF(COUNTIF('Knockout &amp; Winner'!$G$43:$G$46,L54)&gt;0,8,IF(COUNTIF('Knockout &amp; Winner'!$G$32:$G$39,L54)&gt;0,5,IF(COUNTIF('Knockout &amp; Winner'!$G$13:$G$28,L54)&gt;0,3,0)))))))</f>
        <v>0</v>
      </c>
      <c r="P54">
        <f t="shared" si="5"/>
        <v>0</v>
      </c>
      <c r="Q54" t="str">
        <f>IF(OR(COUNTIF('Knockout &amp; Winner'!$G$13:$G$28,L54)&gt;0,COUNTIF('Knockout &amp; Winner'!$G$32:$G$39,L54)&gt;0,COUNTIF('Knockout &amp; Winner'!$G$43:$G$46,L54)&gt;0,COUNTIF('Knockout &amp; Winner'!$G$50:$G$51,L54)&gt;0,'Knockout &amp; Winner'!$G$55=L54,'Knockout &amp; Winner'!$G$59=L54),"Yes","")</f>
        <v/>
      </c>
    </row>
    <row r="55" spans="1:17" x14ac:dyDescent="0.2">
      <c r="A55" s="41" t="str">
        <f t="shared" si="6"/>
        <v>Norway</v>
      </c>
      <c r="B55" s="58">
        <f t="shared" si="7"/>
        <v>0</v>
      </c>
      <c r="C55" s="58" t="s">
        <v>87</v>
      </c>
      <c r="D55" s="58">
        <f t="shared" si="8"/>
        <v>0</v>
      </c>
      <c r="E55" s="59" t="str">
        <f>IF(O44=25,"Champion",IF(OR('Knockout &amp; Winner'!$B$59=L44,'Knockout &amp; Winner'!$E$59=L44),"Finalist",IF(O44=15,"3rd Place",IF(O44=12,"Semi-final",IF(O44=8,"Quarter-final",IF(O44=5,"Round of 16",IF(O44=3,"Round of 32","—")))))))</f>
        <v>—</v>
      </c>
      <c r="F55" s="58">
        <f t="shared" si="9"/>
        <v>0</v>
      </c>
      <c r="G55" s="60">
        <f t="shared" si="10"/>
        <v>0</v>
      </c>
      <c r="L55" t="s">
        <v>90</v>
      </c>
      <c r="M55">
        <f>IFERROR(VLOOKUP(L55,'Participating Teams'!$B$4:$F$51,5,FALSE),"")</f>
        <v>0</v>
      </c>
      <c r="N55">
        <f>IFERROR(INDEX('Group Stage'!$I$1:$I$200,MATCH(L55,'Group Stage'!$A$1:$A$200,0)),0)</f>
        <v>0</v>
      </c>
      <c r="O55">
        <f>IF(AND('Knockout &amp; Winner'!$G$59&lt;&gt;"",'Knockout &amp; Winner'!$G$59=L55),25,IF(AND('Knockout &amp; Winner'!$G$55&lt;&gt;"",'Knockout &amp; Winner'!$G$55=L55),15,IF(OR(AND('Knockout &amp; Winner'!$B$59&lt;&gt;"",'Knockout &amp; Winner'!$B$59=L55),AND('Knockout &amp; Winner'!$E$59&lt;&gt;"",'Knockout &amp; Winner'!$E$59=L55)),18,IF(COUNTIF('Knockout &amp; Winner'!$G$50:$G$51,L55)&gt;0,12,IF(COUNTIF('Knockout &amp; Winner'!$G$43:$G$46,L55)&gt;0,8,IF(COUNTIF('Knockout &amp; Winner'!$G$32:$G$39,L55)&gt;0,5,IF(COUNTIF('Knockout &amp; Winner'!$G$13:$G$28,L55)&gt;0,3,0)))))))</f>
        <v>0</v>
      </c>
      <c r="P55">
        <f t="shared" si="5"/>
        <v>0</v>
      </c>
      <c r="Q55" t="str">
        <f>IF(OR(COUNTIF('Knockout &amp; Winner'!$G$13:$G$28,L55)&gt;0,COUNTIF('Knockout &amp; Winner'!$G$32:$G$39,L55)&gt;0,COUNTIF('Knockout &amp; Winner'!$G$43:$G$46,L55)&gt;0,COUNTIF('Knockout &amp; Winner'!$G$50:$G$51,L55)&gt;0,'Knockout &amp; Winner'!$G$55=L55,'Knockout &amp; Winner'!$G$59=L55),"Yes","")</f>
        <v/>
      </c>
    </row>
    <row r="56" spans="1:17" x14ac:dyDescent="0.2">
      <c r="A56" s="61" t="str">
        <f t="shared" si="6"/>
        <v>Iraq</v>
      </c>
      <c r="B56" s="62">
        <f t="shared" si="7"/>
        <v>0</v>
      </c>
      <c r="C56" s="62" t="s">
        <v>87</v>
      </c>
      <c r="D56" s="62">
        <f t="shared" si="8"/>
        <v>0</v>
      </c>
      <c r="E56" s="63" t="str">
        <f>IF(O45=25,"Champion",IF(OR('Knockout &amp; Winner'!$B$59=L45,'Knockout &amp; Winner'!$E$59=L45),"Finalist",IF(O45=15,"3rd Place",IF(O45=12,"Semi-final",IF(O45=8,"Quarter-final",IF(O45=5,"Round of 16",IF(O45=3,"Round of 32","—")))))))</f>
        <v>—</v>
      </c>
      <c r="F56" s="62">
        <f t="shared" si="9"/>
        <v>0</v>
      </c>
      <c r="G56" s="60">
        <f t="shared" si="10"/>
        <v>0</v>
      </c>
      <c r="L56" t="s">
        <v>91</v>
      </c>
      <c r="M56">
        <f>IFERROR(VLOOKUP(L56,'Participating Teams'!$B$4:$F$51,5,FALSE),"")</f>
        <v>0</v>
      </c>
      <c r="N56">
        <f>IFERROR(INDEX('Group Stage'!$I$1:$I$200,MATCH(L56,'Group Stage'!$A$1:$A$200,0)),0)</f>
        <v>0</v>
      </c>
      <c r="O56">
        <f>IF(AND('Knockout &amp; Winner'!$G$59&lt;&gt;"",'Knockout &amp; Winner'!$G$59=L56),25,IF(AND('Knockout &amp; Winner'!$G$55&lt;&gt;"",'Knockout &amp; Winner'!$G$55=L56),15,IF(OR(AND('Knockout &amp; Winner'!$B$59&lt;&gt;"",'Knockout &amp; Winner'!$B$59=L56),AND('Knockout &amp; Winner'!$E$59&lt;&gt;"",'Knockout &amp; Winner'!$E$59=L56)),18,IF(COUNTIF('Knockout &amp; Winner'!$G$50:$G$51,L56)&gt;0,12,IF(COUNTIF('Knockout &amp; Winner'!$G$43:$G$46,L56)&gt;0,8,IF(COUNTIF('Knockout &amp; Winner'!$G$32:$G$39,L56)&gt;0,5,IF(COUNTIF('Knockout &amp; Winner'!$G$13:$G$28,L56)&gt;0,3,0)))))))</f>
        <v>0</v>
      </c>
      <c r="P56">
        <f t="shared" si="5"/>
        <v>0</v>
      </c>
      <c r="Q56" t="str">
        <f>IF(OR(COUNTIF('Knockout &amp; Winner'!$G$13:$G$28,L56)&gt;0,COUNTIF('Knockout &amp; Winner'!$G$32:$G$39,L56)&gt;0,COUNTIF('Knockout &amp; Winner'!$G$43:$G$46,L56)&gt;0,COUNTIF('Knockout &amp; Winner'!$G$50:$G$51,L56)&gt;0,'Knockout &amp; Winner'!$G$55=L56,'Knockout &amp; Winner'!$G$59=L56),"Yes","")</f>
        <v/>
      </c>
    </row>
    <row r="57" spans="1:17" x14ac:dyDescent="0.2">
      <c r="A57" s="41" t="str">
        <f t="shared" si="6"/>
        <v>Argentina</v>
      </c>
      <c r="B57" s="58">
        <f t="shared" si="7"/>
        <v>0</v>
      </c>
      <c r="C57" s="58" t="s">
        <v>92</v>
      </c>
      <c r="D57" s="58">
        <f t="shared" si="8"/>
        <v>0</v>
      </c>
      <c r="E57" s="59" t="str">
        <f>IF(O46=25,"Champion",IF(OR('Knockout &amp; Winner'!$B$59=L46,'Knockout &amp; Winner'!$E$59=L46),"Finalist",IF(O46=15,"3rd Place",IF(O46=12,"Semi-final",IF(O46=8,"Quarter-final",IF(O46=5,"Round of 16",IF(O46=3,"Round of 32","—")))))))</f>
        <v>—</v>
      </c>
      <c r="F57" s="58">
        <f t="shared" si="9"/>
        <v>0</v>
      </c>
      <c r="G57" s="60">
        <f t="shared" si="10"/>
        <v>0</v>
      </c>
      <c r="L57" t="s">
        <v>93</v>
      </c>
      <c r="M57">
        <f>IFERROR(VLOOKUP(L57,'Participating Teams'!$B$4:$F$51,5,FALSE),"")</f>
        <v>0</v>
      </c>
      <c r="N57">
        <f>IFERROR(INDEX('Group Stage'!$I$1:$I$200,MATCH(L57,'Group Stage'!$A$1:$A$200,0)),0)</f>
        <v>0</v>
      </c>
      <c r="O57">
        <f>IF(AND('Knockout &amp; Winner'!$G$59&lt;&gt;"",'Knockout &amp; Winner'!$G$59=L57),25,IF(AND('Knockout &amp; Winner'!$G$55&lt;&gt;"",'Knockout &amp; Winner'!$G$55=L57),15,IF(OR(AND('Knockout &amp; Winner'!$B$59&lt;&gt;"",'Knockout &amp; Winner'!$B$59=L57),AND('Knockout &amp; Winner'!$E$59&lt;&gt;"",'Knockout &amp; Winner'!$E$59=L57)),18,IF(COUNTIF('Knockout &amp; Winner'!$G$50:$G$51,L57)&gt;0,12,IF(COUNTIF('Knockout &amp; Winner'!$G$43:$G$46,L57)&gt;0,8,IF(COUNTIF('Knockout &amp; Winner'!$G$32:$G$39,L57)&gt;0,5,IF(COUNTIF('Knockout &amp; Winner'!$G$13:$G$28,L57)&gt;0,3,0)))))))</f>
        <v>0</v>
      </c>
      <c r="P57">
        <f t="shared" si="5"/>
        <v>0</v>
      </c>
      <c r="Q57" t="str">
        <f>IF(OR(COUNTIF('Knockout &amp; Winner'!$G$13:$G$28,L57)&gt;0,COUNTIF('Knockout &amp; Winner'!$G$32:$G$39,L57)&gt;0,COUNTIF('Knockout &amp; Winner'!$G$43:$G$46,L57)&gt;0,COUNTIF('Knockout &amp; Winner'!$G$50:$G$51,L57)&gt;0,'Knockout &amp; Winner'!$G$55=L57,'Knockout &amp; Winner'!$G$59=L57),"Yes","")</f>
        <v/>
      </c>
    </row>
    <row r="58" spans="1:17" x14ac:dyDescent="0.2">
      <c r="A58" s="61" t="str">
        <f t="shared" si="6"/>
        <v>Algeria</v>
      </c>
      <c r="B58" s="62">
        <f t="shared" si="7"/>
        <v>0</v>
      </c>
      <c r="C58" s="62" t="s">
        <v>92</v>
      </c>
      <c r="D58" s="62">
        <f t="shared" si="8"/>
        <v>0</v>
      </c>
      <c r="E58" s="63" t="str">
        <f>IF(O47=25,"Champion",IF(OR('Knockout &amp; Winner'!$B$59=L47,'Knockout &amp; Winner'!$E$59=L47),"Finalist",IF(O47=15,"3rd Place",IF(O47=12,"Semi-final",IF(O47=8,"Quarter-final",IF(O47=5,"Round of 16",IF(O47=3,"Round of 32","—")))))))</f>
        <v>—</v>
      </c>
      <c r="F58" s="62">
        <f t="shared" si="9"/>
        <v>0</v>
      </c>
      <c r="G58" s="60">
        <f t="shared" si="10"/>
        <v>0</v>
      </c>
    </row>
    <row r="59" spans="1:17" x14ac:dyDescent="0.2">
      <c r="A59" s="41" t="str">
        <f t="shared" si="6"/>
        <v>Austria</v>
      </c>
      <c r="B59" s="58">
        <f t="shared" si="7"/>
        <v>0</v>
      </c>
      <c r="C59" s="58" t="s">
        <v>92</v>
      </c>
      <c r="D59" s="58">
        <f t="shared" si="8"/>
        <v>0</v>
      </c>
      <c r="E59" s="59" t="str">
        <f>IF(O48=25,"Champion",IF(OR('Knockout &amp; Winner'!$B$59=L48,'Knockout &amp; Winner'!$E$59=L48),"Finalist",IF(O48=15,"3rd Place",IF(O48=12,"Semi-final",IF(O48=8,"Quarter-final",IF(O48=5,"Round of 16",IF(O48=3,"Round of 32","—")))))))</f>
        <v>—</v>
      </c>
      <c r="F59" s="58">
        <f t="shared" si="9"/>
        <v>0</v>
      </c>
      <c r="G59" s="60">
        <f t="shared" si="10"/>
        <v>0</v>
      </c>
    </row>
    <row r="60" spans="1:17" x14ac:dyDescent="0.2">
      <c r="A60" s="61" t="str">
        <f t="shared" si="6"/>
        <v>Jordan</v>
      </c>
      <c r="B60" s="62">
        <f t="shared" si="7"/>
        <v>0</v>
      </c>
      <c r="C60" s="62" t="s">
        <v>92</v>
      </c>
      <c r="D60" s="62">
        <f t="shared" si="8"/>
        <v>0</v>
      </c>
      <c r="E60" s="63" t="str">
        <f>IF(O49=25,"Champion",IF(OR('Knockout &amp; Winner'!$B$59=L49,'Knockout &amp; Winner'!$E$59=L49),"Finalist",IF(O49=15,"3rd Place",IF(O49=12,"Semi-final",IF(O49=8,"Quarter-final",IF(O49=5,"Round of 16",IF(O49=3,"Round of 32","—")))))))</f>
        <v>—</v>
      </c>
      <c r="F60" s="62">
        <f t="shared" si="9"/>
        <v>0</v>
      </c>
      <c r="G60" s="60">
        <f t="shared" si="10"/>
        <v>0</v>
      </c>
    </row>
    <row r="61" spans="1:17" x14ac:dyDescent="0.2">
      <c r="A61" s="41" t="str">
        <f t="shared" si="6"/>
        <v>Portugal</v>
      </c>
      <c r="B61" s="58">
        <f t="shared" si="7"/>
        <v>0</v>
      </c>
      <c r="C61" s="58" t="s">
        <v>94</v>
      </c>
      <c r="D61" s="58">
        <f t="shared" si="8"/>
        <v>0</v>
      </c>
      <c r="E61" s="59" t="str">
        <f>IF(O50=25,"Champion",IF(OR('Knockout &amp; Winner'!$B$59=L50,'Knockout &amp; Winner'!$E$59=L50),"Finalist",IF(O50=15,"3rd Place",IF(O50=12,"Semi-final",IF(O50=8,"Quarter-final",IF(O50=5,"Round of 16",IF(O50=3,"Round of 32","—")))))))</f>
        <v>—</v>
      </c>
      <c r="F61" s="58">
        <f t="shared" si="9"/>
        <v>0</v>
      </c>
      <c r="G61" s="60">
        <f t="shared" si="10"/>
        <v>0</v>
      </c>
    </row>
    <row r="62" spans="1:17" x14ac:dyDescent="0.2">
      <c r="A62" s="61" t="str">
        <f t="shared" si="6"/>
        <v>Colombia</v>
      </c>
      <c r="B62" s="62">
        <f t="shared" si="7"/>
        <v>0</v>
      </c>
      <c r="C62" s="62" t="s">
        <v>94</v>
      </c>
      <c r="D62" s="62">
        <f t="shared" si="8"/>
        <v>0</v>
      </c>
      <c r="E62" s="63" t="str">
        <f>IF(O51=25,"Champion",IF(OR('Knockout &amp; Winner'!$B$59=L51,'Knockout &amp; Winner'!$E$59=L51),"Finalist",IF(O51=15,"3rd Place",IF(O51=12,"Semi-final",IF(O51=8,"Quarter-final",IF(O51=5,"Round of 16",IF(O51=3,"Round of 32","—")))))))</f>
        <v>—</v>
      </c>
      <c r="F62" s="62">
        <f t="shared" si="9"/>
        <v>0</v>
      </c>
      <c r="G62" s="60">
        <f t="shared" si="10"/>
        <v>0</v>
      </c>
    </row>
    <row r="63" spans="1:17" x14ac:dyDescent="0.2">
      <c r="A63" s="41" t="str">
        <f t="shared" si="6"/>
        <v>Uzbekistan</v>
      </c>
      <c r="B63" s="58">
        <f t="shared" si="7"/>
        <v>0</v>
      </c>
      <c r="C63" s="58" t="s">
        <v>94</v>
      </c>
      <c r="D63" s="58">
        <f t="shared" si="8"/>
        <v>0</v>
      </c>
      <c r="E63" s="59" t="str">
        <f>IF(O52=25,"Champion",IF(OR('Knockout &amp; Winner'!$B$59=L52,'Knockout &amp; Winner'!$E$59=L52),"Finalist",IF(O52=15,"3rd Place",IF(O52=12,"Semi-final",IF(O52=8,"Quarter-final",IF(O52=5,"Round of 16",IF(O52=3,"Round of 32","—")))))))</f>
        <v>—</v>
      </c>
      <c r="F63" s="58">
        <f t="shared" si="9"/>
        <v>0</v>
      </c>
      <c r="G63" s="60">
        <f t="shared" si="10"/>
        <v>0</v>
      </c>
    </row>
    <row r="64" spans="1:17" x14ac:dyDescent="0.2">
      <c r="A64" s="61" t="str">
        <f t="shared" si="6"/>
        <v>DR Congo</v>
      </c>
      <c r="B64" s="62">
        <f t="shared" si="7"/>
        <v>0</v>
      </c>
      <c r="C64" s="62" t="s">
        <v>94</v>
      </c>
      <c r="D64" s="62">
        <f t="shared" si="8"/>
        <v>0</v>
      </c>
      <c r="E64" s="63" t="str">
        <f>IF(O53=25,"Champion",IF(OR('Knockout &amp; Winner'!$B$59=L53,'Knockout &amp; Winner'!$E$59=L53),"Finalist",IF(O53=15,"3rd Place",IF(O53=12,"Semi-final",IF(O53=8,"Quarter-final",IF(O53=5,"Round of 16",IF(O53=3,"Round of 32","—")))))))</f>
        <v>—</v>
      </c>
      <c r="F64" s="62">
        <f t="shared" si="9"/>
        <v>0</v>
      </c>
      <c r="G64" s="60">
        <f t="shared" si="10"/>
        <v>0</v>
      </c>
    </row>
    <row r="65" spans="1:7" x14ac:dyDescent="0.2">
      <c r="A65" s="41" t="str">
        <f t="shared" si="6"/>
        <v>England</v>
      </c>
      <c r="B65" s="58">
        <f t="shared" si="7"/>
        <v>0</v>
      </c>
      <c r="C65" s="58" t="s">
        <v>95</v>
      </c>
      <c r="D65" s="58">
        <f t="shared" si="8"/>
        <v>0</v>
      </c>
      <c r="E65" s="59" t="str">
        <f>IF(O54=25,"Champion",IF(OR('Knockout &amp; Winner'!$B$59=L54,'Knockout &amp; Winner'!$E$59=L54),"Finalist",IF(O54=15,"3rd Place",IF(O54=12,"Semi-final",IF(O54=8,"Quarter-final",IF(O54=5,"Round of 16",IF(O54=3,"Round of 32","—")))))))</f>
        <v>—</v>
      </c>
      <c r="F65" s="58">
        <f t="shared" si="9"/>
        <v>0</v>
      </c>
      <c r="G65" s="60">
        <f t="shared" si="10"/>
        <v>0</v>
      </c>
    </row>
    <row r="66" spans="1:7" x14ac:dyDescent="0.2">
      <c r="A66" s="61" t="str">
        <f t="shared" si="6"/>
        <v>Croatia</v>
      </c>
      <c r="B66" s="62">
        <f t="shared" si="7"/>
        <v>0</v>
      </c>
      <c r="C66" s="62" t="s">
        <v>95</v>
      </c>
      <c r="D66" s="62">
        <f t="shared" si="8"/>
        <v>0</v>
      </c>
      <c r="E66" s="63" t="str">
        <f>IF(O55=25,"Champion",IF(OR('Knockout &amp; Winner'!$B$59=L55,'Knockout &amp; Winner'!$E$59=L55),"Finalist",IF(O55=15,"3rd Place",IF(O55=12,"Semi-final",IF(O55=8,"Quarter-final",IF(O55=5,"Round of 16",IF(O55=3,"Round of 32","—")))))))</f>
        <v>—</v>
      </c>
      <c r="F66" s="62">
        <f t="shared" si="9"/>
        <v>0</v>
      </c>
      <c r="G66" s="60">
        <f t="shared" si="10"/>
        <v>0</v>
      </c>
    </row>
    <row r="67" spans="1:7" x14ac:dyDescent="0.2">
      <c r="A67" s="41" t="str">
        <f t="shared" si="6"/>
        <v>Ghana</v>
      </c>
      <c r="B67" s="58">
        <f t="shared" si="7"/>
        <v>0</v>
      </c>
      <c r="C67" s="58" t="s">
        <v>95</v>
      </c>
      <c r="D67" s="58">
        <f t="shared" si="8"/>
        <v>0</v>
      </c>
      <c r="E67" s="59" t="str">
        <f>IF(O56=25,"Champion",IF(OR('Knockout &amp; Winner'!$B$59=L56,'Knockout &amp; Winner'!$E$59=L56),"Finalist",IF(O56=15,"3rd Place",IF(O56=12,"Semi-final",IF(O56=8,"Quarter-final",IF(O56=5,"Round of 16",IF(O56=3,"Round of 32","—")))))))</f>
        <v>—</v>
      </c>
      <c r="F67" s="58">
        <f t="shared" si="9"/>
        <v>0</v>
      </c>
      <c r="G67" s="60">
        <f t="shared" si="10"/>
        <v>0</v>
      </c>
    </row>
    <row r="68" spans="1:7" x14ac:dyDescent="0.2">
      <c r="A68" s="61" t="str">
        <f t="shared" si="6"/>
        <v>Panama</v>
      </c>
      <c r="B68" s="62">
        <f t="shared" si="7"/>
        <v>0</v>
      </c>
      <c r="C68" s="62" t="s">
        <v>95</v>
      </c>
      <c r="D68" s="62">
        <f t="shared" si="8"/>
        <v>0</v>
      </c>
      <c r="E68" s="63" t="str">
        <f>IF(O57=25,"Champion",IF(OR('Knockout &amp; Winner'!$B$59=L57,'Knockout &amp; Winner'!$E$59=L57),"Finalist",IF(O57=15,"3rd Place",IF(O57=12,"Semi-final",IF(O57=8,"Quarter-final",IF(O57=5,"Round of 16",IF(O57=3,"Round of 32","—")))))))</f>
        <v>—</v>
      </c>
      <c r="F68" s="62">
        <f t="shared" si="9"/>
        <v>0</v>
      </c>
      <c r="G68" s="60">
        <f t="shared" si="10"/>
        <v>0</v>
      </c>
    </row>
  </sheetData>
  <mergeCells count="5">
    <mergeCell ref="A1:J1"/>
    <mergeCell ref="A8:J8"/>
    <mergeCell ref="A4:J4"/>
    <mergeCell ref="A2:J2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zoomScaleNormal="100" workbookViewId="0">
      <pane xSplit="1" ySplit="3" topLeftCell="B4" activePane="bottomRight" state="frozen"/>
      <selection sqref="A1:J1"/>
      <selection pane="topRight" sqref="A1:J1"/>
      <selection pane="bottomLeft" sqref="A1:J1"/>
      <selection pane="bottomRight" activeCell="I20" sqref="I20"/>
    </sheetView>
  </sheetViews>
  <sheetFormatPr baseColWidth="10" defaultColWidth="8.6640625" defaultRowHeight="15" x14ac:dyDescent="0.2"/>
  <cols>
    <col min="1" max="1" width="9" customWidth="1"/>
    <col min="2" max="9" width="16" customWidth="1"/>
  </cols>
  <sheetData>
    <row r="1" spans="1:9" ht="24" customHeight="1" x14ac:dyDescent="0.2">
      <c r="A1" s="72" t="s">
        <v>96</v>
      </c>
      <c r="B1" s="65"/>
      <c r="C1" s="65"/>
      <c r="D1" s="65"/>
      <c r="E1" s="65"/>
      <c r="F1" s="65"/>
      <c r="G1" s="65"/>
      <c r="H1" s="65"/>
    </row>
    <row r="2" spans="1:9" ht="15" customHeight="1" x14ac:dyDescent="0.2">
      <c r="A2" s="71" t="s">
        <v>97</v>
      </c>
      <c r="B2" s="65"/>
      <c r="C2" s="65"/>
      <c r="D2" s="65"/>
      <c r="E2" s="65"/>
      <c r="F2" s="65"/>
      <c r="G2" s="65"/>
      <c r="H2" s="65"/>
    </row>
    <row r="3" spans="1:9" ht="21.75" customHeight="1" x14ac:dyDescent="0.2">
      <c r="A3" s="1"/>
      <c r="B3" s="2" t="s">
        <v>25</v>
      </c>
      <c r="C3" s="2" t="s">
        <v>27</v>
      </c>
      <c r="D3" s="2" t="s">
        <v>29</v>
      </c>
      <c r="E3" s="2" t="s">
        <v>31</v>
      </c>
      <c r="F3" s="2" t="s">
        <v>33</v>
      </c>
      <c r="G3" s="2" t="s">
        <v>35</v>
      </c>
      <c r="H3" s="2" t="s">
        <v>37</v>
      </c>
      <c r="I3" s="2" t="s">
        <v>39</v>
      </c>
    </row>
    <row r="4" spans="1:9" ht="19.5" customHeight="1" x14ac:dyDescent="0.2">
      <c r="A4" s="3" t="s">
        <v>98</v>
      </c>
      <c r="B4" s="4" t="s">
        <v>74</v>
      </c>
      <c r="C4" s="4" t="s">
        <v>41</v>
      </c>
      <c r="D4" s="4" t="s">
        <v>79</v>
      </c>
      <c r="E4" s="4" t="s">
        <v>43</v>
      </c>
      <c r="F4" s="4" t="s">
        <v>69</v>
      </c>
      <c r="G4" s="4" t="s">
        <v>89</v>
      </c>
      <c r="H4" s="4" t="s">
        <v>59</v>
      </c>
      <c r="I4" s="4" t="s">
        <v>84</v>
      </c>
    </row>
    <row r="5" spans="1:9" ht="19.5" customHeight="1" x14ac:dyDescent="0.2">
      <c r="A5" s="3" t="s">
        <v>99</v>
      </c>
      <c r="B5" s="5" t="s">
        <v>88</v>
      </c>
      <c r="C5" s="5" t="s">
        <v>73</v>
      </c>
      <c r="D5" s="5" t="s">
        <v>66</v>
      </c>
      <c r="E5" s="5" t="s">
        <v>51</v>
      </c>
      <c r="F5" s="5" t="s">
        <v>38</v>
      </c>
      <c r="G5" s="5" t="s">
        <v>90</v>
      </c>
      <c r="H5" s="5" t="s">
        <v>53</v>
      </c>
      <c r="I5" s="5" t="s">
        <v>65</v>
      </c>
    </row>
    <row r="6" spans="1:9" ht="19.5" customHeight="1" x14ac:dyDescent="0.2">
      <c r="A6" s="3" t="s">
        <v>100</v>
      </c>
      <c r="B6" s="4" t="s">
        <v>40</v>
      </c>
      <c r="C6" s="4" t="s">
        <v>26</v>
      </c>
      <c r="D6" s="82" t="s">
        <v>49</v>
      </c>
      <c r="E6" s="4" t="s">
        <v>56</v>
      </c>
      <c r="F6" s="4" t="s">
        <v>36</v>
      </c>
      <c r="G6" s="4" t="s">
        <v>83</v>
      </c>
      <c r="H6" s="4" t="s">
        <v>68</v>
      </c>
      <c r="I6" s="4" t="s">
        <v>54</v>
      </c>
    </row>
    <row r="7" spans="1:9" ht="19.5" customHeight="1" x14ac:dyDescent="0.2">
      <c r="A7" s="3" t="s">
        <v>101</v>
      </c>
      <c r="B7" s="5" t="s">
        <v>91</v>
      </c>
      <c r="C7" s="5" t="s">
        <v>71</v>
      </c>
      <c r="D7" s="5" t="s">
        <v>50</v>
      </c>
      <c r="E7" s="5" t="s">
        <v>55</v>
      </c>
      <c r="F7" s="5" t="s">
        <v>58</v>
      </c>
      <c r="G7" s="5" t="s">
        <v>60</v>
      </c>
      <c r="H7" s="5" t="s">
        <v>48</v>
      </c>
      <c r="I7" s="5" t="s">
        <v>32</v>
      </c>
    </row>
    <row r="8" spans="1:9" ht="19.5" customHeight="1" x14ac:dyDescent="0.2">
      <c r="A8" s="3" t="s">
        <v>102</v>
      </c>
      <c r="B8" s="4" t="s">
        <v>46</v>
      </c>
      <c r="C8" s="4" t="s">
        <v>64</v>
      </c>
      <c r="D8" s="82" t="s">
        <v>85</v>
      </c>
      <c r="E8" s="4" t="s">
        <v>78</v>
      </c>
      <c r="F8" s="4" t="s">
        <v>80</v>
      </c>
      <c r="G8" s="4" t="s">
        <v>81</v>
      </c>
      <c r="H8" s="4" t="s">
        <v>76</v>
      </c>
      <c r="I8" s="4" t="s">
        <v>86</v>
      </c>
    </row>
    <row r="9" spans="1:9" ht="19.5" customHeight="1" x14ac:dyDescent="0.2">
      <c r="A9" s="3" t="s">
        <v>103</v>
      </c>
      <c r="B9" s="5" t="s">
        <v>75</v>
      </c>
      <c r="C9" s="5" t="s">
        <v>30</v>
      </c>
      <c r="D9" s="5" t="s">
        <v>70</v>
      </c>
      <c r="E9" s="5" t="s">
        <v>93</v>
      </c>
      <c r="F9" s="5" t="s">
        <v>28</v>
      </c>
      <c r="G9" s="5" t="s">
        <v>34</v>
      </c>
      <c r="H9" s="5" t="s">
        <v>61</v>
      </c>
      <c r="I9" s="5" t="s">
        <v>63</v>
      </c>
    </row>
    <row r="10" spans="1:9" ht="15" customHeight="1" x14ac:dyDescent="0.2">
      <c r="A10" s="6" t="s">
        <v>104</v>
      </c>
      <c r="B10" s="7">
        <f t="shared" ref="B10:I10" si="0">COUNTA(B4:B9)</f>
        <v>6</v>
      </c>
      <c r="C10" s="7">
        <f t="shared" si="0"/>
        <v>6</v>
      </c>
      <c r="D10" s="7">
        <f t="shared" si="0"/>
        <v>6</v>
      </c>
      <c r="E10" s="7">
        <f t="shared" si="0"/>
        <v>6</v>
      </c>
      <c r="F10" s="7">
        <f t="shared" si="0"/>
        <v>6</v>
      </c>
      <c r="G10" s="7">
        <f t="shared" si="0"/>
        <v>6</v>
      </c>
      <c r="H10" s="7">
        <f t="shared" si="0"/>
        <v>6</v>
      </c>
      <c r="I10" s="7">
        <f t="shared" si="0"/>
        <v>6</v>
      </c>
    </row>
    <row r="12" spans="1:9" ht="15" customHeight="1" x14ac:dyDescent="0.2">
      <c r="A12" s="8" t="s">
        <v>105</v>
      </c>
    </row>
    <row r="13" spans="1:9" ht="15" customHeight="1" x14ac:dyDescent="0.2">
      <c r="A13" s="70" t="s">
        <v>106</v>
      </c>
      <c r="B13" s="65"/>
      <c r="C13" s="65"/>
      <c r="D13" s="65"/>
      <c r="E13" s="65"/>
      <c r="F13" s="65"/>
      <c r="G13" s="65"/>
      <c r="H13" s="65"/>
    </row>
    <row r="14" spans="1:9" ht="15" customHeight="1" x14ac:dyDescent="0.2">
      <c r="A14" s="70" t="s">
        <v>107</v>
      </c>
      <c r="B14" s="65"/>
      <c r="C14" s="65"/>
      <c r="D14" s="65"/>
      <c r="E14" s="65"/>
      <c r="F14" s="65"/>
      <c r="G14" s="65"/>
      <c r="H14" s="65"/>
    </row>
    <row r="15" spans="1:9" ht="15" customHeight="1" x14ac:dyDescent="0.2">
      <c r="A15" s="70" t="s">
        <v>108</v>
      </c>
      <c r="B15" s="65"/>
      <c r="C15" s="65"/>
      <c r="D15" s="65"/>
      <c r="E15" s="65"/>
      <c r="F15" s="65"/>
      <c r="G15" s="65"/>
      <c r="H15" s="65"/>
    </row>
    <row r="16" spans="1:9" ht="15" customHeight="1" x14ac:dyDescent="0.2">
      <c r="A16" s="70" t="s">
        <v>109</v>
      </c>
      <c r="B16" s="65"/>
      <c r="C16" s="65"/>
      <c r="D16" s="65"/>
      <c r="E16" s="65"/>
      <c r="F16" s="65"/>
      <c r="G16" s="65"/>
      <c r="H16" s="65"/>
    </row>
  </sheetData>
  <mergeCells count="6">
    <mergeCell ref="A1:H1"/>
    <mergeCell ref="A15:H15"/>
    <mergeCell ref="A16:H16"/>
    <mergeCell ref="A2:H2"/>
    <mergeCell ref="A13:H13"/>
    <mergeCell ref="A14:H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'Participating Teams'!$B$4:$B$51</xm:f>
          </x14:formula1>
          <x14:formula2>
            <xm:f>0</xm:f>
          </x14:formula2>
          <xm:sqref>B4:I9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0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10" width="4.5" customWidth="1"/>
    <col min="11" max="11" width="13" hidden="1" customWidth="1"/>
    <col min="12" max="12" width="2" customWidth="1"/>
    <col min="13" max="13" width="22" customWidth="1"/>
    <col min="14" max="14" width="5" customWidth="1"/>
    <col min="15" max="15" width="3" customWidth="1"/>
    <col min="16" max="16" width="5" customWidth="1"/>
    <col min="17" max="17" width="22" customWidth="1"/>
  </cols>
  <sheetData>
    <row r="1" spans="1:17" ht="24" customHeight="1" x14ac:dyDescent="0.2">
      <c r="A1" s="72" t="s">
        <v>110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17" ht="15" customHeight="1" x14ac:dyDescent="0.2">
      <c r="A2" s="71" t="s">
        <v>111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</row>
    <row r="4" spans="1:17" ht="19.5" customHeight="1" x14ac:dyDescent="0.2">
      <c r="A4" s="73" t="s">
        <v>112</v>
      </c>
      <c r="B4" s="65"/>
      <c r="C4" s="65"/>
      <c r="D4" s="65"/>
      <c r="E4" s="65"/>
      <c r="F4" s="65"/>
      <c r="G4" s="65"/>
      <c r="H4" s="65"/>
      <c r="I4" s="65"/>
      <c r="J4" s="65"/>
      <c r="K4" s="65"/>
      <c r="M4" s="74" t="s">
        <v>113</v>
      </c>
      <c r="N4" s="65"/>
      <c r="O4" s="65"/>
      <c r="P4" s="65"/>
      <c r="Q4" s="65"/>
    </row>
    <row r="5" spans="1:17" ht="15" customHeight="1" x14ac:dyDescent="0.2">
      <c r="A5" s="9" t="s">
        <v>21</v>
      </c>
      <c r="B5" s="9" t="s">
        <v>114</v>
      </c>
      <c r="C5" s="9" t="s">
        <v>115</v>
      </c>
      <c r="D5" s="9" t="s">
        <v>62</v>
      </c>
      <c r="E5" s="9" t="s">
        <v>95</v>
      </c>
      <c r="F5" s="9" t="s">
        <v>116</v>
      </c>
      <c r="G5" s="9" t="s">
        <v>117</v>
      </c>
      <c r="H5" s="9" t="s">
        <v>118</v>
      </c>
      <c r="I5" s="9" t="s">
        <v>119</v>
      </c>
      <c r="J5" s="9" t="s">
        <v>120</v>
      </c>
      <c r="K5" s="10" t="s">
        <v>121</v>
      </c>
      <c r="M5" s="9" t="s">
        <v>122</v>
      </c>
      <c r="N5" s="9"/>
      <c r="O5" s="9"/>
      <c r="P5" s="9"/>
      <c r="Q5" s="9" t="s">
        <v>123</v>
      </c>
    </row>
    <row r="6" spans="1:17" ht="15" customHeight="1" x14ac:dyDescent="0.2">
      <c r="A6" s="11" t="s">
        <v>26</v>
      </c>
      <c r="B6" s="12">
        <f>C6+D6+E6</f>
        <v>0</v>
      </c>
      <c r="C6" s="12">
        <f>IF(AND(N6&lt;&gt;"",P6&lt;&gt;"",N6&gt;P6),1,0)+IF(AND(N7&lt;&gt;"",P7&lt;&gt;"",N7&gt;P7),1,0)+IF(AND(N8&lt;&gt;"",P8&lt;&gt;"",N8&gt;P8),1,0)</f>
        <v>0</v>
      </c>
      <c r="D6" s="12">
        <f>IF(AND(N6&lt;&gt;"",P6&lt;&gt;"",N6=P6),1,0)+IF(AND(N7&lt;&gt;"",P7&lt;&gt;"",N7=P7),1,0)+IF(AND(N8&lt;&gt;"",P8&lt;&gt;"",N8=P8),1,0)</f>
        <v>0</v>
      </c>
      <c r="E6" s="12">
        <f>IF(AND(N6&lt;&gt;"",P6&lt;&gt;"",N6&lt;P6),1,0)+IF(AND(N7&lt;&gt;"",P7&lt;&gt;"",N7&lt;P7),1,0)+IF(AND(N8&lt;&gt;"",P8&lt;&gt;"",N8&lt;P8),1,0)</f>
        <v>0</v>
      </c>
      <c r="F6" s="12">
        <f>IF(N6&lt;&gt;"",N6,0)+IF(N7&lt;&gt;"",N7,0)+IF(N8&lt;&gt;"",N8,0)</f>
        <v>0</v>
      </c>
      <c r="G6" s="12">
        <f>IF(P6&lt;&gt;"",P6,0)+IF(P7&lt;&gt;"",P7,0)+IF(P8&lt;&gt;"",P8,0)</f>
        <v>0</v>
      </c>
      <c r="H6" s="12">
        <f>F6-G6</f>
        <v>0</v>
      </c>
      <c r="I6" s="13">
        <f>C6*3+D6</f>
        <v>0</v>
      </c>
      <c r="J6" s="14">
        <f>RANK(K6,K6:K9)</f>
        <v>1</v>
      </c>
      <c r="K6" s="15">
        <f>I6*10000+H6*100+F6</f>
        <v>0</v>
      </c>
      <c r="M6" s="16" t="str">
        <f>A6</f>
        <v>Mexico</v>
      </c>
      <c r="N6" s="17"/>
      <c r="O6" s="18" t="s">
        <v>124</v>
      </c>
      <c r="P6" s="17"/>
      <c r="Q6" s="19" t="str">
        <f>A7</f>
        <v>South Korea</v>
      </c>
    </row>
    <row r="7" spans="1:17" ht="15" customHeight="1" x14ac:dyDescent="0.2">
      <c r="A7" s="20" t="s">
        <v>28</v>
      </c>
      <c r="B7" s="21">
        <f>C7+D7+E7</f>
        <v>0</v>
      </c>
      <c r="C7" s="21">
        <f>IF(AND(P6&lt;&gt;"",N6&lt;&gt;"",P6&gt;N6),1,0)+IF(AND(N9&lt;&gt;"",P9&lt;&gt;"",N9&gt;P9),1,0)+IF(AND(N10&lt;&gt;"",P10&lt;&gt;"",N10&gt;P10),1,0)</f>
        <v>0</v>
      </c>
      <c r="D7" s="21">
        <f>IF(AND(P6&lt;&gt;"",N6&lt;&gt;"",P6=N6),1,0)+IF(AND(N9&lt;&gt;"",P9&lt;&gt;"",N9=P9),1,0)+IF(AND(N10&lt;&gt;"",P10&lt;&gt;"",N10=P10),1,0)</f>
        <v>0</v>
      </c>
      <c r="E7" s="21">
        <f>IF(AND(P6&lt;&gt;"",N6&lt;&gt;"",P6&lt;N6),1,0)+IF(AND(N9&lt;&gt;"",P9&lt;&gt;"",N9&lt;P9),1,0)+IF(AND(N10&lt;&gt;"",P10&lt;&gt;"",N10&lt;P10),1,0)</f>
        <v>0</v>
      </c>
      <c r="F7" s="21">
        <f>IF(P6&lt;&gt;"",P6,0)+IF(N9&lt;&gt;"",N9,0)+IF(N10&lt;&gt;"",N10,0)</f>
        <v>0</v>
      </c>
      <c r="G7" s="21">
        <f>IF(N6&lt;&gt;"",N6,0)+IF(P9&lt;&gt;"",P9,0)+IF(P10&lt;&gt;"",P10,0)</f>
        <v>0</v>
      </c>
      <c r="H7" s="21">
        <f>F7-G7</f>
        <v>0</v>
      </c>
      <c r="I7" s="13">
        <f>C7*3+D7</f>
        <v>0</v>
      </c>
      <c r="J7" s="22">
        <f>RANK(K7,K6:K9)</f>
        <v>1</v>
      </c>
      <c r="K7" s="15">
        <f>I7*10000+H7*100+F7</f>
        <v>0</v>
      </c>
      <c r="M7" s="16" t="str">
        <f>A6</f>
        <v>Mexico</v>
      </c>
      <c r="N7" s="17"/>
      <c r="O7" s="18" t="s">
        <v>124</v>
      </c>
      <c r="P7" s="17"/>
      <c r="Q7" s="19" t="str">
        <f>A8</f>
        <v>South Africa</v>
      </c>
    </row>
    <row r="8" spans="1:17" ht="15" customHeight="1" x14ac:dyDescent="0.2">
      <c r="A8" s="11" t="s">
        <v>30</v>
      </c>
      <c r="B8" s="12">
        <f>C8+D8+E8</f>
        <v>0</v>
      </c>
      <c r="C8" s="12">
        <f>IF(AND(P7&lt;&gt;"",N7&lt;&gt;"",P7&gt;N7),1,0)+IF(AND(P9&lt;&gt;"",N9&lt;&gt;"",P9&gt;N9),1,0)+IF(AND(N11&lt;&gt;"",P11&lt;&gt;"",N11&gt;P11),1,0)</f>
        <v>0</v>
      </c>
      <c r="D8" s="12">
        <f>IF(AND(P7&lt;&gt;"",N7&lt;&gt;"",P7=N7),1,0)+IF(AND(P9&lt;&gt;"",N9&lt;&gt;"",P9=N9),1,0)+IF(AND(N11&lt;&gt;"",P11&lt;&gt;"",N11=P11),1,0)</f>
        <v>0</v>
      </c>
      <c r="E8" s="12">
        <f>IF(AND(P7&lt;&gt;"",N7&lt;&gt;"",P7&lt;N7),1,0)+IF(AND(P9&lt;&gt;"",N9&lt;&gt;"",P9&lt;N9),1,0)+IF(AND(N11&lt;&gt;"",P11&lt;&gt;"",N11&lt;P11),1,0)</f>
        <v>0</v>
      </c>
      <c r="F8" s="12">
        <f>IF(P7&lt;&gt;"",P7,0)+IF(P9&lt;&gt;"",P9,0)+IF(N11&lt;&gt;"",N11,0)</f>
        <v>0</v>
      </c>
      <c r="G8" s="12">
        <f>IF(N7&lt;&gt;"",N7,0)+IF(N9&lt;&gt;"",N9,0)+IF(P11&lt;&gt;"",P11,0)</f>
        <v>0</v>
      </c>
      <c r="H8" s="12">
        <f>F8-G8</f>
        <v>0</v>
      </c>
      <c r="I8" s="13">
        <f>C8*3+D8</f>
        <v>0</v>
      </c>
      <c r="J8" s="14">
        <f>RANK(K8,K6:K9)</f>
        <v>1</v>
      </c>
      <c r="K8" s="15">
        <f>I8*10000+H8*100+F8</f>
        <v>0</v>
      </c>
      <c r="M8" s="16" t="str">
        <f>A6</f>
        <v>Mexico</v>
      </c>
      <c r="N8" s="17"/>
      <c r="O8" s="18" t="s">
        <v>124</v>
      </c>
      <c r="P8" s="17"/>
      <c r="Q8" s="19" t="str">
        <f>A9</f>
        <v>Czechia</v>
      </c>
    </row>
    <row r="9" spans="1:17" ht="15" customHeight="1" x14ac:dyDescent="0.2">
      <c r="A9" s="20" t="s">
        <v>32</v>
      </c>
      <c r="B9" s="21">
        <f>C9+D9+E9</f>
        <v>0</v>
      </c>
      <c r="C9" s="21">
        <f>IF(AND(P8&lt;&gt;"",N8&lt;&gt;"",P8&gt;N8),1,0)+IF(AND(P10&lt;&gt;"",N10&lt;&gt;"",P10&gt;N10),1,0)+IF(AND(P11&lt;&gt;"",N11&lt;&gt;"",P11&gt;N11),1,0)</f>
        <v>0</v>
      </c>
      <c r="D9" s="21">
        <f>IF(AND(P8&lt;&gt;"",N8&lt;&gt;"",P8=N8),1,0)+IF(AND(P10&lt;&gt;"",N10&lt;&gt;"",P10=N10),1,0)+IF(AND(P11&lt;&gt;"",N11&lt;&gt;"",P11=N11),1,0)</f>
        <v>0</v>
      </c>
      <c r="E9" s="21">
        <f>IF(AND(P8&lt;&gt;"",N8&lt;&gt;"",P8&lt;N8),1,0)+IF(AND(P10&lt;&gt;"",N10&lt;&gt;"",P10&lt;N10),1,0)+IF(AND(P11&lt;&gt;"",N11&lt;&gt;"",P11&lt;N11),1,0)</f>
        <v>0</v>
      </c>
      <c r="F9" s="21">
        <f>IF(P8&lt;&gt;"",P8,0)+IF(P10&lt;&gt;"",P10,0)+IF(P11&lt;&gt;"",P11,0)</f>
        <v>0</v>
      </c>
      <c r="G9" s="21">
        <f>IF(N8&lt;&gt;"",N8,0)+IF(N10&lt;&gt;"",N10,0)+IF(N11&lt;&gt;"",N11,0)</f>
        <v>0</v>
      </c>
      <c r="H9" s="21">
        <f>F9-G9</f>
        <v>0</v>
      </c>
      <c r="I9" s="13">
        <f>C9*3+D9</f>
        <v>0</v>
      </c>
      <c r="J9" s="22">
        <f>RANK(K9,K6:K9)</f>
        <v>1</v>
      </c>
      <c r="K9" s="15">
        <f>I9*10000+H9*100+F9</f>
        <v>0</v>
      </c>
      <c r="M9" s="16" t="str">
        <f>A7</f>
        <v>South Korea</v>
      </c>
      <c r="N9" s="17"/>
      <c r="O9" s="18" t="s">
        <v>124</v>
      </c>
      <c r="P9" s="17"/>
      <c r="Q9" s="19" t="str">
        <f>A8</f>
        <v>South Africa</v>
      </c>
    </row>
    <row r="10" spans="1:17" ht="15" customHeight="1" x14ac:dyDescent="0.2">
      <c r="M10" s="16" t="str">
        <f>A7</f>
        <v>South Korea</v>
      </c>
      <c r="N10" s="17"/>
      <c r="O10" s="18" t="s">
        <v>124</v>
      </c>
      <c r="P10" s="17"/>
      <c r="Q10" s="19" t="str">
        <f>A9</f>
        <v>Czechia</v>
      </c>
    </row>
    <row r="11" spans="1:17" ht="15" customHeight="1" x14ac:dyDescent="0.2">
      <c r="M11" s="16" t="str">
        <f>A8</f>
        <v>South Africa</v>
      </c>
      <c r="N11" s="17"/>
      <c r="O11" s="18" t="s">
        <v>124</v>
      </c>
      <c r="P11" s="17"/>
      <c r="Q11" s="19" t="str">
        <f>A9</f>
        <v>Czechia</v>
      </c>
    </row>
    <row r="13" spans="1:17" ht="19.5" customHeight="1" x14ac:dyDescent="0.2">
      <c r="A13" s="73" t="s">
        <v>125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M13" s="74" t="s">
        <v>113</v>
      </c>
      <c r="N13" s="65"/>
      <c r="O13" s="65"/>
      <c r="P13" s="65"/>
      <c r="Q13" s="65"/>
    </row>
    <row r="14" spans="1:17" ht="15" customHeight="1" x14ac:dyDescent="0.2">
      <c r="A14" s="9" t="s">
        <v>21</v>
      </c>
      <c r="B14" s="9" t="s">
        <v>114</v>
      </c>
      <c r="C14" s="9" t="s">
        <v>115</v>
      </c>
      <c r="D14" s="9" t="s">
        <v>62</v>
      </c>
      <c r="E14" s="9" t="s">
        <v>95</v>
      </c>
      <c r="F14" s="9" t="s">
        <v>116</v>
      </c>
      <c r="G14" s="9" t="s">
        <v>117</v>
      </c>
      <c r="H14" s="9" t="s">
        <v>118</v>
      </c>
      <c r="I14" s="9" t="s">
        <v>119</v>
      </c>
      <c r="J14" s="9" t="s">
        <v>120</v>
      </c>
      <c r="K14" s="10" t="s">
        <v>121</v>
      </c>
      <c r="M14" s="9" t="s">
        <v>122</v>
      </c>
      <c r="N14" s="9"/>
      <c r="O14" s="9"/>
      <c r="P14" s="9"/>
      <c r="Q14" s="9" t="s">
        <v>123</v>
      </c>
    </row>
    <row r="15" spans="1:17" ht="15" customHeight="1" x14ac:dyDescent="0.2">
      <c r="A15" s="11" t="s">
        <v>34</v>
      </c>
      <c r="B15" s="12">
        <f>C15+D15+E15</f>
        <v>0</v>
      </c>
      <c r="C15" s="12">
        <f>IF(AND(N15&lt;&gt;"",P15&lt;&gt;"",N15&gt;P15),1,0)+IF(AND(N16&lt;&gt;"",P16&lt;&gt;"",N16&gt;P16),1,0)+IF(AND(N17&lt;&gt;"",P17&lt;&gt;"",N17&gt;P17),1,0)</f>
        <v>0</v>
      </c>
      <c r="D15" s="12">
        <f>IF(AND(N15&lt;&gt;"",P15&lt;&gt;"",N15=P15),1,0)+IF(AND(N16&lt;&gt;"",P16&lt;&gt;"",N16=P16),1,0)+IF(AND(N17&lt;&gt;"",P17&lt;&gt;"",N17=P17),1,0)</f>
        <v>0</v>
      </c>
      <c r="E15" s="12">
        <f>IF(AND(N15&lt;&gt;"",P15&lt;&gt;"",N15&lt;P15),1,0)+IF(AND(N16&lt;&gt;"",P16&lt;&gt;"",N16&lt;P16),1,0)+IF(AND(N17&lt;&gt;"",P17&lt;&gt;"",N17&lt;P17),1,0)</f>
        <v>0</v>
      </c>
      <c r="F15" s="12">
        <f>IF(N15&lt;&gt;"",N15,0)+IF(N16&lt;&gt;"",N16,0)+IF(N17&lt;&gt;"",N17,0)</f>
        <v>0</v>
      </c>
      <c r="G15" s="12">
        <f>IF(P15&lt;&gt;"",P15,0)+IF(P16&lt;&gt;"",P16,0)+IF(P17&lt;&gt;"",P17,0)</f>
        <v>0</v>
      </c>
      <c r="H15" s="12">
        <f>F15-G15</f>
        <v>0</v>
      </c>
      <c r="I15" s="13">
        <f>C15*3+D15</f>
        <v>0</v>
      </c>
      <c r="J15" s="14">
        <f>RANK(K15,K15:K18)</f>
        <v>1</v>
      </c>
      <c r="K15" s="15">
        <f>I15*10000+H15*100+F15</f>
        <v>0</v>
      </c>
      <c r="M15" s="16" t="str">
        <f>A15</f>
        <v>Canada</v>
      </c>
      <c r="N15" s="17"/>
      <c r="O15" s="18" t="s">
        <v>124</v>
      </c>
      <c r="P15" s="17"/>
      <c r="Q15" s="19" t="str">
        <f>A16</f>
        <v>Switzerland</v>
      </c>
    </row>
    <row r="16" spans="1:17" ht="15" customHeight="1" x14ac:dyDescent="0.2">
      <c r="A16" s="20" t="s">
        <v>36</v>
      </c>
      <c r="B16" s="21">
        <f>C16+D16+E16</f>
        <v>0</v>
      </c>
      <c r="C16" s="21">
        <f>IF(AND(P15&lt;&gt;"",N15&lt;&gt;"",P15&gt;N15),1,0)+IF(AND(N18&lt;&gt;"",P18&lt;&gt;"",N18&gt;P18),1,0)+IF(AND(N19&lt;&gt;"",P19&lt;&gt;"",N19&gt;P19),1,0)</f>
        <v>0</v>
      </c>
      <c r="D16" s="21">
        <f>IF(AND(P15&lt;&gt;"",N15&lt;&gt;"",P15=N15),1,0)+IF(AND(N18&lt;&gt;"",P18&lt;&gt;"",N18=P18),1,0)+IF(AND(N19&lt;&gt;"",P19&lt;&gt;"",N19=P19),1,0)</f>
        <v>0</v>
      </c>
      <c r="E16" s="21">
        <f>IF(AND(P15&lt;&gt;"",N15&lt;&gt;"",P15&lt;N15),1,0)+IF(AND(N18&lt;&gt;"",P18&lt;&gt;"",N18&lt;P18),1,0)+IF(AND(N19&lt;&gt;"",P19&lt;&gt;"",N19&lt;P19),1,0)</f>
        <v>0</v>
      </c>
      <c r="F16" s="21">
        <f>IF(P15&lt;&gt;"",P15,0)+IF(N18&lt;&gt;"",N18,0)+IF(N19&lt;&gt;"",N19,0)</f>
        <v>0</v>
      </c>
      <c r="G16" s="21">
        <f>IF(N15&lt;&gt;"",N15,0)+IF(P18&lt;&gt;"",P18,0)+IF(P19&lt;&gt;"",P19,0)</f>
        <v>0</v>
      </c>
      <c r="H16" s="21">
        <f>F16-G16</f>
        <v>0</v>
      </c>
      <c r="I16" s="13">
        <f>C16*3+D16</f>
        <v>0</v>
      </c>
      <c r="J16" s="22">
        <f>RANK(K16,K15:K18)</f>
        <v>1</v>
      </c>
      <c r="K16" s="15">
        <f>I16*10000+H16*100+F16</f>
        <v>0</v>
      </c>
      <c r="M16" s="16" t="str">
        <f>A15</f>
        <v>Canada</v>
      </c>
      <c r="N16" s="17"/>
      <c r="O16" s="18" t="s">
        <v>124</v>
      </c>
      <c r="P16" s="17"/>
      <c r="Q16" s="19" t="str">
        <f>A17</f>
        <v>Qatar</v>
      </c>
    </row>
    <row r="17" spans="1:17" ht="15" customHeight="1" x14ac:dyDescent="0.2">
      <c r="A17" s="11" t="s">
        <v>38</v>
      </c>
      <c r="B17" s="12">
        <f>C17+D17+E17</f>
        <v>0</v>
      </c>
      <c r="C17" s="12">
        <f>IF(AND(P16&lt;&gt;"",N16&lt;&gt;"",P16&gt;N16),1,0)+IF(AND(P18&lt;&gt;"",N18&lt;&gt;"",P18&gt;N18),1,0)+IF(AND(N20&lt;&gt;"",P20&lt;&gt;"",N20&gt;P20),1,0)</f>
        <v>0</v>
      </c>
      <c r="D17" s="12">
        <f>IF(AND(P16&lt;&gt;"",N16&lt;&gt;"",P16=N16),1,0)+IF(AND(P18&lt;&gt;"",N18&lt;&gt;"",P18=N18),1,0)+IF(AND(N20&lt;&gt;"",P20&lt;&gt;"",N20=P20),1,0)</f>
        <v>0</v>
      </c>
      <c r="E17" s="12">
        <f>IF(AND(P16&lt;&gt;"",N16&lt;&gt;"",P16&lt;N16),1,0)+IF(AND(P18&lt;&gt;"",N18&lt;&gt;"",P18&lt;N18),1,0)+IF(AND(N20&lt;&gt;"",P20&lt;&gt;"",N20&lt;P20),1,0)</f>
        <v>0</v>
      </c>
      <c r="F17" s="12">
        <f>IF(P16&lt;&gt;"",P16,0)+IF(P18&lt;&gt;"",P18,0)+IF(N20&lt;&gt;"",N20,0)</f>
        <v>0</v>
      </c>
      <c r="G17" s="12">
        <f>IF(N16&lt;&gt;"",N16,0)+IF(N18&lt;&gt;"",N18,0)+IF(P20&lt;&gt;"",P20,0)</f>
        <v>0</v>
      </c>
      <c r="H17" s="12">
        <f>F17-G17</f>
        <v>0</v>
      </c>
      <c r="I17" s="13">
        <f>C17*3+D17</f>
        <v>0</v>
      </c>
      <c r="J17" s="14">
        <f>RANK(K17,K15:K18)</f>
        <v>1</v>
      </c>
      <c r="K17" s="15">
        <f>I17*10000+H17*100+F17</f>
        <v>0</v>
      </c>
      <c r="M17" s="16" t="str">
        <f>A15</f>
        <v>Canada</v>
      </c>
      <c r="N17" s="17"/>
      <c r="O17" s="18" t="s">
        <v>124</v>
      </c>
      <c r="P17" s="17"/>
      <c r="Q17" s="19" t="str">
        <f>A18</f>
        <v>Bosnia and Herzegovina</v>
      </c>
    </row>
    <row r="18" spans="1:17" ht="15" customHeight="1" x14ac:dyDescent="0.2">
      <c r="A18" s="20" t="s">
        <v>40</v>
      </c>
      <c r="B18" s="21">
        <f>C18+D18+E18</f>
        <v>0</v>
      </c>
      <c r="C18" s="21">
        <f>IF(AND(P17&lt;&gt;"",N17&lt;&gt;"",P17&gt;N17),1,0)+IF(AND(P19&lt;&gt;"",N19&lt;&gt;"",P19&gt;N19),1,0)+IF(AND(P20&lt;&gt;"",N20&lt;&gt;"",P20&gt;N20),1,0)</f>
        <v>0</v>
      </c>
      <c r="D18" s="21">
        <f>IF(AND(P17&lt;&gt;"",N17&lt;&gt;"",P17=N17),1,0)+IF(AND(P19&lt;&gt;"",N19&lt;&gt;"",P19=N19),1,0)+IF(AND(P20&lt;&gt;"",N20&lt;&gt;"",P20=N20),1,0)</f>
        <v>0</v>
      </c>
      <c r="E18" s="21">
        <f>IF(AND(P17&lt;&gt;"",N17&lt;&gt;"",P17&lt;N17),1,0)+IF(AND(P19&lt;&gt;"",N19&lt;&gt;"",P19&lt;N19),1,0)+IF(AND(P20&lt;&gt;"",N20&lt;&gt;"",P20&lt;N20),1,0)</f>
        <v>0</v>
      </c>
      <c r="F18" s="21">
        <f>IF(P17&lt;&gt;"",P17,0)+IF(P19&lt;&gt;"",P19,0)+IF(P20&lt;&gt;"",P20,0)</f>
        <v>0</v>
      </c>
      <c r="G18" s="21">
        <f>IF(N17&lt;&gt;"",N17,0)+IF(N19&lt;&gt;"",N19,0)+IF(N20&lt;&gt;"",N20,0)</f>
        <v>0</v>
      </c>
      <c r="H18" s="21">
        <f>F18-G18</f>
        <v>0</v>
      </c>
      <c r="I18" s="13">
        <f>C18*3+D18</f>
        <v>0</v>
      </c>
      <c r="J18" s="22">
        <f>RANK(K18,K15:K18)</f>
        <v>1</v>
      </c>
      <c r="K18" s="15">
        <f>I18*10000+H18*100+F18</f>
        <v>0</v>
      </c>
      <c r="M18" s="16" t="str">
        <f>A16</f>
        <v>Switzerland</v>
      </c>
      <c r="N18" s="17"/>
      <c r="O18" s="18" t="s">
        <v>124</v>
      </c>
      <c r="P18" s="17"/>
      <c r="Q18" s="19" t="str">
        <f>A17</f>
        <v>Qatar</v>
      </c>
    </row>
    <row r="19" spans="1:17" ht="15" customHeight="1" x14ac:dyDescent="0.2">
      <c r="M19" s="16" t="str">
        <f>A16</f>
        <v>Switzerland</v>
      </c>
      <c r="N19" s="17"/>
      <c r="O19" s="18" t="s">
        <v>124</v>
      </c>
      <c r="P19" s="17"/>
      <c r="Q19" s="19" t="str">
        <f>A18</f>
        <v>Bosnia and Herzegovina</v>
      </c>
    </row>
    <row r="20" spans="1:17" ht="15" customHeight="1" x14ac:dyDescent="0.2">
      <c r="M20" s="16" t="str">
        <f>A17</f>
        <v>Qatar</v>
      </c>
      <c r="N20" s="17"/>
      <c r="O20" s="18" t="s">
        <v>124</v>
      </c>
      <c r="P20" s="17"/>
      <c r="Q20" s="19" t="str">
        <f>A18</f>
        <v>Bosnia and Herzegovina</v>
      </c>
    </row>
    <row r="22" spans="1:17" ht="19.5" customHeight="1" x14ac:dyDescent="0.2">
      <c r="A22" s="73" t="s">
        <v>126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M22" s="74" t="s">
        <v>113</v>
      </c>
      <c r="N22" s="65"/>
      <c r="O22" s="65"/>
      <c r="P22" s="65"/>
      <c r="Q22" s="65"/>
    </row>
    <row r="23" spans="1:17" ht="15" customHeight="1" x14ac:dyDescent="0.2">
      <c r="A23" s="9" t="s">
        <v>21</v>
      </c>
      <c r="B23" s="9" t="s">
        <v>114</v>
      </c>
      <c r="C23" s="9" t="s">
        <v>115</v>
      </c>
      <c r="D23" s="9" t="s">
        <v>62</v>
      </c>
      <c r="E23" s="9" t="s">
        <v>95</v>
      </c>
      <c r="F23" s="9" t="s">
        <v>116</v>
      </c>
      <c r="G23" s="9" t="s">
        <v>117</v>
      </c>
      <c r="H23" s="9" t="s">
        <v>118</v>
      </c>
      <c r="I23" s="9" t="s">
        <v>119</v>
      </c>
      <c r="J23" s="9" t="s">
        <v>120</v>
      </c>
      <c r="K23" s="10" t="s">
        <v>121</v>
      </c>
      <c r="M23" s="9" t="s">
        <v>122</v>
      </c>
      <c r="N23" s="9"/>
      <c r="O23" s="9"/>
      <c r="P23" s="9"/>
      <c r="Q23" s="9" t="s">
        <v>123</v>
      </c>
    </row>
    <row r="24" spans="1:17" ht="15" customHeight="1" x14ac:dyDescent="0.2">
      <c r="A24" s="11" t="s">
        <v>41</v>
      </c>
      <c r="B24" s="12">
        <f>C24+D24+E24</f>
        <v>0</v>
      </c>
      <c r="C24" s="12">
        <f>IF(AND(N24&lt;&gt;"",P24&lt;&gt;"",N24&gt;P24),1,0)+IF(AND(N25&lt;&gt;"",P25&lt;&gt;"",N25&gt;P25),1,0)+IF(AND(N26&lt;&gt;"",P26&lt;&gt;"",N26&gt;P26),1,0)</f>
        <v>0</v>
      </c>
      <c r="D24" s="12">
        <f>IF(AND(N24&lt;&gt;"",P24&lt;&gt;"",N24=P24),1,0)+IF(AND(N25&lt;&gt;"",P25&lt;&gt;"",N25=P25),1,0)+IF(AND(N26&lt;&gt;"",P26&lt;&gt;"",N26=P26),1,0)</f>
        <v>0</v>
      </c>
      <c r="E24" s="12">
        <f>IF(AND(N24&lt;&gt;"",P24&lt;&gt;"",N24&lt;P24),1,0)+IF(AND(N25&lt;&gt;"",P25&lt;&gt;"",N25&lt;P25),1,0)+IF(AND(N26&lt;&gt;"",P26&lt;&gt;"",N26&lt;P26),1,0)</f>
        <v>0</v>
      </c>
      <c r="F24" s="12">
        <f>IF(N24&lt;&gt;"",N24,0)+IF(N25&lt;&gt;"",N25,0)+IF(N26&lt;&gt;"",N26,0)</f>
        <v>0</v>
      </c>
      <c r="G24" s="12">
        <f>IF(P24&lt;&gt;"",P24,0)+IF(P25&lt;&gt;"",P25,0)+IF(P26&lt;&gt;"",P26,0)</f>
        <v>0</v>
      </c>
      <c r="H24" s="12">
        <f>F24-G24</f>
        <v>0</v>
      </c>
      <c r="I24" s="13">
        <f>C24*3+D24</f>
        <v>0</v>
      </c>
      <c r="J24" s="14">
        <f>RANK(K24,K24:K27)</f>
        <v>1</v>
      </c>
      <c r="K24" s="15">
        <f>I24*10000+H24*100+F24</f>
        <v>0</v>
      </c>
      <c r="M24" s="16" t="str">
        <f>A24</f>
        <v>Brazil</v>
      </c>
      <c r="N24" s="17"/>
      <c r="O24" s="18" t="s">
        <v>124</v>
      </c>
      <c r="P24" s="17"/>
      <c r="Q24" s="19" t="str">
        <f>A25</f>
        <v>Morocco</v>
      </c>
    </row>
    <row r="25" spans="1:17" ht="15" customHeight="1" x14ac:dyDescent="0.2">
      <c r="A25" s="20" t="s">
        <v>43</v>
      </c>
      <c r="B25" s="21">
        <f>C25+D25+E25</f>
        <v>0</v>
      </c>
      <c r="C25" s="21">
        <f>IF(AND(P24&lt;&gt;"",N24&lt;&gt;"",P24&gt;N24),1,0)+IF(AND(N27&lt;&gt;"",P27&lt;&gt;"",N27&gt;P27),1,0)+IF(AND(N28&lt;&gt;"",P28&lt;&gt;"",N28&gt;P28),1,0)</f>
        <v>0</v>
      </c>
      <c r="D25" s="21">
        <f>IF(AND(P24&lt;&gt;"",N24&lt;&gt;"",P24=N24),1,0)+IF(AND(N27&lt;&gt;"",P27&lt;&gt;"",N27=P27),1,0)+IF(AND(N28&lt;&gt;"",P28&lt;&gt;"",N28=P28),1,0)</f>
        <v>0</v>
      </c>
      <c r="E25" s="21">
        <f>IF(AND(P24&lt;&gt;"",N24&lt;&gt;"",P24&lt;N24),1,0)+IF(AND(N27&lt;&gt;"",P27&lt;&gt;"",N27&lt;P27),1,0)+IF(AND(N28&lt;&gt;"",P28&lt;&gt;"",N28&lt;P28),1,0)</f>
        <v>0</v>
      </c>
      <c r="F25" s="21">
        <f>IF(P24&lt;&gt;"",P24,0)+IF(N27&lt;&gt;"",N27,0)+IF(N28&lt;&gt;"",N28,0)</f>
        <v>0</v>
      </c>
      <c r="G25" s="21">
        <f>IF(N24&lt;&gt;"",N24,0)+IF(P27&lt;&gt;"",P27,0)+IF(P28&lt;&gt;"",P28,0)</f>
        <v>0</v>
      </c>
      <c r="H25" s="21">
        <f>F25-G25</f>
        <v>0</v>
      </c>
      <c r="I25" s="13">
        <f>C25*3+D25</f>
        <v>0</v>
      </c>
      <c r="J25" s="22">
        <f>RANK(K25,K24:K27)</f>
        <v>1</v>
      </c>
      <c r="K25" s="15">
        <f>I25*10000+H25*100+F25</f>
        <v>0</v>
      </c>
      <c r="M25" s="16" t="str">
        <f>A24</f>
        <v>Brazil</v>
      </c>
      <c r="N25" s="17"/>
      <c r="O25" s="18" t="s">
        <v>124</v>
      </c>
      <c r="P25" s="17"/>
      <c r="Q25" s="19" t="str">
        <f>A26</f>
        <v>Scotland</v>
      </c>
    </row>
    <row r="26" spans="1:17" ht="15" customHeight="1" x14ac:dyDescent="0.2">
      <c r="A26" s="11" t="s">
        <v>46</v>
      </c>
      <c r="B26" s="12">
        <f>C26+D26+E26</f>
        <v>0</v>
      </c>
      <c r="C26" s="12">
        <f>IF(AND(P25&lt;&gt;"",N25&lt;&gt;"",P25&gt;N25),1,0)+IF(AND(P27&lt;&gt;"",N27&lt;&gt;"",P27&gt;N27),1,0)+IF(AND(N29&lt;&gt;"",P29&lt;&gt;"",N29&gt;P29),1,0)</f>
        <v>0</v>
      </c>
      <c r="D26" s="12">
        <f>IF(AND(P25&lt;&gt;"",N25&lt;&gt;"",P25=N25),1,0)+IF(AND(P27&lt;&gt;"",N27&lt;&gt;"",P27=N27),1,0)+IF(AND(N29&lt;&gt;"",P29&lt;&gt;"",N29=P29),1,0)</f>
        <v>0</v>
      </c>
      <c r="E26" s="12">
        <f>IF(AND(P25&lt;&gt;"",N25&lt;&gt;"",P25&lt;N25),1,0)+IF(AND(P27&lt;&gt;"",N27&lt;&gt;"",P27&lt;N27),1,0)+IF(AND(N29&lt;&gt;"",P29&lt;&gt;"",N29&lt;P29),1,0)</f>
        <v>0</v>
      </c>
      <c r="F26" s="12">
        <f>IF(P25&lt;&gt;"",P25,0)+IF(P27&lt;&gt;"",P27,0)+IF(N29&lt;&gt;"",N29,0)</f>
        <v>0</v>
      </c>
      <c r="G26" s="12">
        <f>IF(N25&lt;&gt;"",N25,0)+IF(N27&lt;&gt;"",N27,0)+IF(P29&lt;&gt;"",P29,0)</f>
        <v>0</v>
      </c>
      <c r="H26" s="12">
        <f>F26-G26</f>
        <v>0</v>
      </c>
      <c r="I26" s="13">
        <f>C26*3+D26</f>
        <v>0</v>
      </c>
      <c r="J26" s="14">
        <f>RANK(K26,K24:K27)</f>
        <v>1</v>
      </c>
      <c r="K26" s="15">
        <f>I26*10000+H26*100+F26</f>
        <v>0</v>
      </c>
      <c r="M26" s="16" t="str">
        <f>A24</f>
        <v>Brazil</v>
      </c>
      <c r="N26" s="17"/>
      <c r="O26" s="18" t="s">
        <v>124</v>
      </c>
      <c r="P26" s="17"/>
      <c r="Q26" s="19" t="str">
        <f>A27</f>
        <v>Haiti</v>
      </c>
    </row>
    <row r="27" spans="1:17" ht="15" customHeight="1" x14ac:dyDescent="0.2">
      <c r="A27" s="20" t="s">
        <v>48</v>
      </c>
      <c r="B27" s="21">
        <f>C27+D27+E27</f>
        <v>0</v>
      </c>
      <c r="C27" s="21">
        <f>IF(AND(P26&lt;&gt;"",N26&lt;&gt;"",P26&gt;N26),1,0)+IF(AND(P28&lt;&gt;"",N28&lt;&gt;"",P28&gt;N28),1,0)+IF(AND(P29&lt;&gt;"",N29&lt;&gt;"",P29&gt;N29),1,0)</f>
        <v>0</v>
      </c>
      <c r="D27" s="21">
        <f>IF(AND(P26&lt;&gt;"",N26&lt;&gt;"",P26=N26),1,0)+IF(AND(P28&lt;&gt;"",N28&lt;&gt;"",P28=N28),1,0)+IF(AND(P29&lt;&gt;"",N29&lt;&gt;"",P29=N29),1,0)</f>
        <v>0</v>
      </c>
      <c r="E27" s="21">
        <f>IF(AND(P26&lt;&gt;"",N26&lt;&gt;"",P26&lt;N26),1,0)+IF(AND(P28&lt;&gt;"",N28&lt;&gt;"",P28&lt;N28),1,0)+IF(AND(P29&lt;&gt;"",N29&lt;&gt;"",P29&lt;N29),1,0)</f>
        <v>0</v>
      </c>
      <c r="F27" s="21">
        <f>IF(P26&lt;&gt;"",P26,0)+IF(P28&lt;&gt;"",P28,0)+IF(P29&lt;&gt;"",P29,0)</f>
        <v>0</v>
      </c>
      <c r="G27" s="21">
        <f>IF(N26&lt;&gt;"",N26,0)+IF(N28&lt;&gt;"",N28,0)+IF(N29&lt;&gt;"",N29,0)</f>
        <v>0</v>
      </c>
      <c r="H27" s="21">
        <f>F27-G27</f>
        <v>0</v>
      </c>
      <c r="I27" s="13">
        <f>C27*3+D27</f>
        <v>0</v>
      </c>
      <c r="J27" s="22">
        <f>RANK(K27,K24:K27)</f>
        <v>1</v>
      </c>
      <c r="K27" s="15">
        <f>I27*10000+H27*100+F27</f>
        <v>0</v>
      </c>
      <c r="M27" s="16" t="str">
        <f>A25</f>
        <v>Morocco</v>
      </c>
      <c r="N27" s="17"/>
      <c r="O27" s="18" t="s">
        <v>124</v>
      </c>
      <c r="P27" s="17"/>
      <c r="Q27" s="19" t="str">
        <f>A26</f>
        <v>Scotland</v>
      </c>
    </row>
    <row r="28" spans="1:17" ht="15" customHeight="1" x14ac:dyDescent="0.2">
      <c r="M28" s="16" t="str">
        <f>A25</f>
        <v>Morocco</v>
      </c>
      <c r="N28" s="17"/>
      <c r="O28" s="18" t="s">
        <v>124</v>
      </c>
      <c r="P28" s="17"/>
      <c r="Q28" s="19" t="str">
        <f>A27</f>
        <v>Haiti</v>
      </c>
    </row>
    <row r="29" spans="1:17" ht="15" customHeight="1" x14ac:dyDescent="0.2">
      <c r="M29" s="16" t="str">
        <f>A26</f>
        <v>Scotland</v>
      </c>
      <c r="N29" s="17"/>
      <c r="O29" s="18" t="s">
        <v>124</v>
      </c>
      <c r="P29" s="17"/>
      <c r="Q29" s="19" t="str">
        <f>A27</f>
        <v>Haiti</v>
      </c>
    </row>
    <row r="31" spans="1:17" ht="19.5" customHeight="1" x14ac:dyDescent="0.2">
      <c r="A31" s="73" t="s">
        <v>127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M31" s="74" t="s">
        <v>113</v>
      </c>
      <c r="N31" s="65"/>
      <c r="O31" s="65"/>
      <c r="P31" s="65"/>
      <c r="Q31" s="65"/>
    </row>
    <row r="32" spans="1:17" ht="15" customHeight="1" x14ac:dyDescent="0.2">
      <c r="A32" s="9" t="s">
        <v>21</v>
      </c>
      <c r="B32" s="9" t="s">
        <v>114</v>
      </c>
      <c r="C32" s="9" t="s">
        <v>115</v>
      </c>
      <c r="D32" s="9" t="s">
        <v>62</v>
      </c>
      <c r="E32" s="9" t="s">
        <v>95</v>
      </c>
      <c r="F32" s="9" t="s">
        <v>116</v>
      </c>
      <c r="G32" s="9" t="s">
        <v>117</v>
      </c>
      <c r="H32" s="9" t="s">
        <v>118</v>
      </c>
      <c r="I32" s="9" t="s">
        <v>119</v>
      </c>
      <c r="J32" s="9" t="s">
        <v>120</v>
      </c>
      <c r="K32" s="10" t="s">
        <v>121</v>
      </c>
      <c r="M32" s="9" t="s">
        <v>122</v>
      </c>
      <c r="N32" s="9"/>
      <c r="O32" s="9"/>
      <c r="P32" s="9"/>
      <c r="Q32" s="9" t="s">
        <v>123</v>
      </c>
    </row>
    <row r="33" spans="1:17" ht="15" customHeight="1" x14ac:dyDescent="0.2">
      <c r="A33" s="11" t="s">
        <v>49</v>
      </c>
      <c r="B33" s="12">
        <f>C33+D33+E33</f>
        <v>0</v>
      </c>
      <c r="C33" s="12">
        <f>IF(AND(N33&lt;&gt;"",P33&lt;&gt;"",N33&gt;P33),1,0)+IF(AND(N34&lt;&gt;"",P34&lt;&gt;"",N34&gt;P34),1,0)+IF(AND(N35&lt;&gt;"",P35&lt;&gt;"",N35&gt;P35),1,0)</f>
        <v>0</v>
      </c>
      <c r="D33" s="12">
        <f>IF(AND(N33&lt;&gt;"",P33&lt;&gt;"",N33=P33),1,0)+IF(AND(N34&lt;&gt;"",P34&lt;&gt;"",N34=P34),1,0)+IF(AND(N35&lt;&gt;"",P35&lt;&gt;"",N35=P35),1,0)</f>
        <v>0</v>
      </c>
      <c r="E33" s="12">
        <f>IF(AND(N33&lt;&gt;"",P33&lt;&gt;"",N33&lt;P33),1,0)+IF(AND(N34&lt;&gt;"",P34&lt;&gt;"",N34&lt;P34),1,0)+IF(AND(N35&lt;&gt;"",P35&lt;&gt;"",N35&lt;P35),1,0)</f>
        <v>0</v>
      </c>
      <c r="F33" s="12">
        <f>IF(N33&lt;&gt;"",N33,0)+IF(N34&lt;&gt;"",N34,0)+IF(N35&lt;&gt;"",N35,0)</f>
        <v>0</v>
      </c>
      <c r="G33" s="12">
        <f>IF(P33&lt;&gt;"",P33,0)+IF(P34&lt;&gt;"",P34,0)+IF(P35&lt;&gt;"",P35,0)</f>
        <v>0</v>
      </c>
      <c r="H33" s="12">
        <f>F33-G33</f>
        <v>0</v>
      </c>
      <c r="I33" s="13">
        <f>C33*3+D33</f>
        <v>0</v>
      </c>
      <c r="J33" s="14">
        <f>RANK(K33,K33:K36)</f>
        <v>1</v>
      </c>
      <c r="K33" s="15">
        <f>I33*10000+H33*100+F33</f>
        <v>0</v>
      </c>
      <c r="M33" s="16" t="str">
        <f>A33</f>
        <v>United States</v>
      </c>
      <c r="N33" s="17"/>
      <c r="O33" s="18" t="s">
        <v>124</v>
      </c>
      <c r="P33" s="17"/>
      <c r="Q33" s="19" t="str">
        <f>A34</f>
        <v>Paraguay</v>
      </c>
    </row>
    <row r="34" spans="1:17" ht="15" customHeight="1" x14ac:dyDescent="0.2">
      <c r="A34" s="20" t="s">
        <v>50</v>
      </c>
      <c r="B34" s="21">
        <f>C34+D34+E34</f>
        <v>0</v>
      </c>
      <c r="C34" s="21">
        <f>IF(AND(P33&lt;&gt;"",N33&lt;&gt;"",P33&gt;N33),1,0)+IF(AND(N36&lt;&gt;"",P36&lt;&gt;"",N36&gt;P36),1,0)+IF(AND(N37&lt;&gt;"",P37&lt;&gt;"",N37&gt;P37),1,0)</f>
        <v>0</v>
      </c>
      <c r="D34" s="21">
        <f>IF(AND(P33&lt;&gt;"",N33&lt;&gt;"",P33=N33),1,0)+IF(AND(N36&lt;&gt;"",P36&lt;&gt;"",N36=P36),1,0)+IF(AND(N37&lt;&gt;"",P37&lt;&gt;"",N37=P37),1,0)</f>
        <v>0</v>
      </c>
      <c r="E34" s="21">
        <f>IF(AND(P33&lt;&gt;"",N33&lt;&gt;"",P33&lt;N33),1,0)+IF(AND(N36&lt;&gt;"",P36&lt;&gt;"",N36&lt;P36),1,0)+IF(AND(N37&lt;&gt;"",P37&lt;&gt;"",N37&lt;P37),1,0)</f>
        <v>0</v>
      </c>
      <c r="F34" s="21">
        <f>IF(P33&lt;&gt;"",P33,0)+IF(N36&lt;&gt;"",N36,0)+IF(N37&lt;&gt;"",N37,0)</f>
        <v>0</v>
      </c>
      <c r="G34" s="21">
        <f>IF(N33&lt;&gt;"",N33,0)+IF(P36&lt;&gt;"",P36,0)+IF(P37&lt;&gt;"",P37,0)</f>
        <v>0</v>
      </c>
      <c r="H34" s="21">
        <f>F34-G34</f>
        <v>0</v>
      </c>
      <c r="I34" s="13">
        <f>C34*3+D34</f>
        <v>0</v>
      </c>
      <c r="J34" s="22">
        <f>RANK(K34,K33:K36)</f>
        <v>1</v>
      </c>
      <c r="K34" s="15">
        <f>I34*10000+H34*100+F34</f>
        <v>0</v>
      </c>
      <c r="M34" s="16" t="str">
        <f>A33</f>
        <v>United States</v>
      </c>
      <c r="N34" s="17"/>
      <c r="O34" s="18" t="s">
        <v>124</v>
      </c>
      <c r="P34" s="17"/>
      <c r="Q34" s="19" t="str">
        <f>A35</f>
        <v>Australia</v>
      </c>
    </row>
    <row r="35" spans="1:17" ht="15" customHeight="1" x14ac:dyDescent="0.2">
      <c r="A35" s="11" t="s">
        <v>51</v>
      </c>
      <c r="B35" s="12">
        <f>C35+D35+E35</f>
        <v>0</v>
      </c>
      <c r="C35" s="12">
        <f>IF(AND(P34&lt;&gt;"",N34&lt;&gt;"",P34&gt;N34),1,0)+IF(AND(P36&lt;&gt;"",N36&lt;&gt;"",P36&gt;N36),1,0)+IF(AND(N38&lt;&gt;"",P38&lt;&gt;"",N38&gt;P38),1,0)</f>
        <v>0</v>
      </c>
      <c r="D35" s="12">
        <f>IF(AND(P34&lt;&gt;"",N34&lt;&gt;"",P34=N34),1,0)+IF(AND(P36&lt;&gt;"",N36&lt;&gt;"",P36=N36),1,0)+IF(AND(N38&lt;&gt;"",P38&lt;&gt;"",N38=P38),1,0)</f>
        <v>0</v>
      </c>
      <c r="E35" s="12">
        <f>IF(AND(P34&lt;&gt;"",N34&lt;&gt;"",P34&lt;N34),1,0)+IF(AND(P36&lt;&gt;"",N36&lt;&gt;"",P36&lt;N36),1,0)+IF(AND(N38&lt;&gt;"",P38&lt;&gt;"",N38&lt;P38),1,0)</f>
        <v>0</v>
      </c>
      <c r="F35" s="12">
        <f>IF(P34&lt;&gt;"",P34,0)+IF(P36&lt;&gt;"",P36,0)+IF(N38&lt;&gt;"",N38,0)</f>
        <v>0</v>
      </c>
      <c r="G35" s="12">
        <f>IF(N34&lt;&gt;"",N34,0)+IF(N36&lt;&gt;"",N36,0)+IF(P38&lt;&gt;"",P38,0)</f>
        <v>0</v>
      </c>
      <c r="H35" s="12">
        <f>F35-G35</f>
        <v>0</v>
      </c>
      <c r="I35" s="13">
        <f>C35*3+D35</f>
        <v>0</v>
      </c>
      <c r="J35" s="14">
        <f>RANK(K35,K33:K36)</f>
        <v>1</v>
      </c>
      <c r="K35" s="15">
        <f>I35*10000+H35*100+F35</f>
        <v>0</v>
      </c>
      <c r="M35" s="16" t="str">
        <f>A33</f>
        <v>United States</v>
      </c>
      <c r="N35" s="17"/>
      <c r="O35" s="18" t="s">
        <v>124</v>
      </c>
      <c r="P35" s="17"/>
      <c r="Q35" s="19" t="str">
        <f>A36</f>
        <v>Türkiye</v>
      </c>
    </row>
    <row r="36" spans="1:17" ht="15" customHeight="1" x14ac:dyDescent="0.2">
      <c r="A36" s="20" t="s">
        <v>53</v>
      </c>
      <c r="B36" s="21">
        <f>C36+D36+E36</f>
        <v>0</v>
      </c>
      <c r="C36" s="21">
        <f>IF(AND(P35&lt;&gt;"",N35&lt;&gt;"",P35&gt;N35),1,0)+IF(AND(P37&lt;&gt;"",N37&lt;&gt;"",P37&gt;N37),1,0)+IF(AND(P38&lt;&gt;"",N38&lt;&gt;"",P38&gt;N38),1,0)</f>
        <v>0</v>
      </c>
      <c r="D36" s="21">
        <f>IF(AND(P35&lt;&gt;"",N35&lt;&gt;"",P35=N35),1,0)+IF(AND(P37&lt;&gt;"",N37&lt;&gt;"",P37=N37),1,0)+IF(AND(P38&lt;&gt;"",N38&lt;&gt;"",P38=N38),1,0)</f>
        <v>0</v>
      </c>
      <c r="E36" s="21">
        <f>IF(AND(P35&lt;&gt;"",N35&lt;&gt;"",P35&lt;N35),1,0)+IF(AND(P37&lt;&gt;"",N37&lt;&gt;"",P37&lt;N37),1,0)+IF(AND(P38&lt;&gt;"",N38&lt;&gt;"",P38&lt;N38),1,0)</f>
        <v>0</v>
      </c>
      <c r="F36" s="21">
        <f>IF(P35&lt;&gt;"",P35,0)+IF(P37&lt;&gt;"",P37,0)+IF(P38&lt;&gt;"",P38,0)</f>
        <v>0</v>
      </c>
      <c r="G36" s="21">
        <f>IF(N35&lt;&gt;"",N35,0)+IF(N37&lt;&gt;"",N37,0)+IF(N38&lt;&gt;"",N38,0)</f>
        <v>0</v>
      </c>
      <c r="H36" s="21">
        <f>F36-G36</f>
        <v>0</v>
      </c>
      <c r="I36" s="13">
        <f>C36*3+D36</f>
        <v>0</v>
      </c>
      <c r="J36" s="22">
        <f>RANK(K36,K33:K36)</f>
        <v>1</v>
      </c>
      <c r="K36" s="15">
        <f>I36*10000+H36*100+F36</f>
        <v>0</v>
      </c>
      <c r="M36" s="16" t="str">
        <f>A34</f>
        <v>Paraguay</v>
      </c>
      <c r="N36" s="17"/>
      <c r="O36" s="18" t="s">
        <v>124</v>
      </c>
      <c r="P36" s="17"/>
      <c r="Q36" s="19" t="str">
        <f>A35</f>
        <v>Australia</v>
      </c>
    </row>
    <row r="37" spans="1:17" ht="15" customHeight="1" x14ac:dyDescent="0.2">
      <c r="M37" s="16" t="str">
        <f>A34</f>
        <v>Paraguay</v>
      </c>
      <c r="N37" s="17"/>
      <c r="O37" s="18" t="s">
        <v>124</v>
      </c>
      <c r="P37" s="17"/>
      <c r="Q37" s="19" t="str">
        <f>A36</f>
        <v>Türkiye</v>
      </c>
    </row>
    <row r="38" spans="1:17" ht="15" customHeight="1" x14ac:dyDescent="0.2">
      <c r="M38" s="16" t="str">
        <f>A35</f>
        <v>Australia</v>
      </c>
      <c r="N38" s="17"/>
      <c r="O38" s="18" t="s">
        <v>124</v>
      </c>
      <c r="P38" s="17"/>
      <c r="Q38" s="19" t="str">
        <f>A36</f>
        <v>Türkiye</v>
      </c>
    </row>
    <row r="40" spans="1:17" ht="19.5" customHeight="1" x14ac:dyDescent="0.2">
      <c r="A40" s="73" t="s">
        <v>128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M40" s="74" t="s">
        <v>113</v>
      </c>
      <c r="N40" s="65"/>
      <c r="O40" s="65"/>
      <c r="P40" s="65"/>
      <c r="Q40" s="65"/>
    </row>
    <row r="41" spans="1:17" ht="15" customHeight="1" x14ac:dyDescent="0.2">
      <c r="A41" s="9" t="s">
        <v>21</v>
      </c>
      <c r="B41" s="9" t="s">
        <v>114</v>
      </c>
      <c r="C41" s="9" t="s">
        <v>115</v>
      </c>
      <c r="D41" s="9" t="s">
        <v>62</v>
      </c>
      <c r="E41" s="9" t="s">
        <v>95</v>
      </c>
      <c r="F41" s="9" t="s">
        <v>116</v>
      </c>
      <c r="G41" s="9" t="s">
        <v>117</v>
      </c>
      <c r="H41" s="9" t="s">
        <v>118</v>
      </c>
      <c r="I41" s="9" t="s">
        <v>119</v>
      </c>
      <c r="J41" s="9" t="s">
        <v>120</v>
      </c>
      <c r="K41" s="10" t="s">
        <v>121</v>
      </c>
      <c r="M41" s="9" t="s">
        <v>122</v>
      </c>
      <c r="N41" s="9"/>
      <c r="O41" s="9"/>
      <c r="P41" s="9"/>
      <c r="Q41" s="9" t="s">
        <v>123</v>
      </c>
    </row>
    <row r="42" spans="1:17" ht="15" customHeight="1" x14ac:dyDescent="0.2">
      <c r="A42" s="11" t="s">
        <v>54</v>
      </c>
      <c r="B42" s="12">
        <f>C42+D42+E42</f>
        <v>0</v>
      </c>
      <c r="C42" s="12">
        <f>IF(AND(N42&lt;&gt;"",P42&lt;&gt;"",N42&gt;P42),1,0)+IF(AND(N43&lt;&gt;"",P43&lt;&gt;"",N43&gt;P43),1,0)+IF(AND(N44&lt;&gt;"",P44&lt;&gt;"",N44&gt;P44),1,0)</f>
        <v>0</v>
      </c>
      <c r="D42" s="12">
        <f>IF(AND(N42&lt;&gt;"",P42&lt;&gt;"",N42=P42),1,0)+IF(AND(N43&lt;&gt;"",P43&lt;&gt;"",N43=P43),1,0)+IF(AND(N44&lt;&gt;"",P44&lt;&gt;"",N44=P44),1,0)</f>
        <v>0</v>
      </c>
      <c r="E42" s="12">
        <f>IF(AND(N42&lt;&gt;"",P42&lt;&gt;"",N42&lt;P42),1,0)+IF(AND(N43&lt;&gt;"",P43&lt;&gt;"",N43&lt;P43),1,0)+IF(AND(N44&lt;&gt;"",P44&lt;&gt;"",N44&lt;P44),1,0)</f>
        <v>0</v>
      </c>
      <c r="F42" s="12">
        <f>IF(N42&lt;&gt;"",N42,0)+IF(N43&lt;&gt;"",N43,0)+IF(N44&lt;&gt;"",N44,0)</f>
        <v>0</v>
      </c>
      <c r="G42" s="12">
        <f>IF(P42&lt;&gt;"",P42,0)+IF(P43&lt;&gt;"",P43,0)+IF(P44&lt;&gt;"",P44,0)</f>
        <v>0</v>
      </c>
      <c r="H42" s="12">
        <f>F42-G42</f>
        <v>0</v>
      </c>
      <c r="I42" s="13">
        <f>C42*3+D42</f>
        <v>0</v>
      </c>
      <c r="J42" s="14">
        <f>RANK(K42,K42:K45)</f>
        <v>1</v>
      </c>
      <c r="K42" s="15">
        <f>I42*10000+H42*100+F42</f>
        <v>0</v>
      </c>
      <c r="M42" s="16" t="str">
        <f>A42</f>
        <v>Germany</v>
      </c>
      <c r="N42" s="17"/>
      <c r="O42" s="18" t="s">
        <v>124</v>
      </c>
      <c r="P42" s="17"/>
      <c r="Q42" s="19" t="str">
        <f>A43</f>
        <v>Ecuador</v>
      </c>
    </row>
    <row r="43" spans="1:17" ht="15" customHeight="1" x14ac:dyDescent="0.2">
      <c r="A43" s="20" t="s">
        <v>55</v>
      </c>
      <c r="B43" s="21">
        <f>C43+D43+E43</f>
        <v>0</v>
      </c>
      <c r="C43" s="21">
        <f>IF(AND(P42&lt;&gt;"",N42&lt;&gt;"",P42&gt;N42),1,0)+IF(AND(N45&lt;&gt;"",P45&lt;&gt;"",N45&gt;P45),1,0)+IF(AND(N46&lt;&gt;"",P46&lt;&gt;"",N46&gt;P46),1,0)</f>
        <v>0</v>
      </c>
      <c r="D43" s="21">
        <f>IF(AND(P42&lt;&gt;"",N42&lt;&gt;"",P42=N42),1,0)+IF(AND(N45&lt;&gt;"",P45&lt;&gt;"",N45=P45),1,0)+IF(AND(N46&lt;&gt;"",P46&lt;&gt;"",N46=P46),1,0)</f>
        <v>0</v>
      </c>
      <c r="E43" s="21">
        <f>IF(AND(P42&lt;&gt;"",N42&lt;&gt;"",P42&lt;N42),1,0)+IF(AND(N45&lt;&gt;"",P45&lt;&gt;"",N45&lt;P45),1,0)+IF(AND(N46&lt;&gt;"",P46&lt;&gt;"",N46&lt;P46),1,0)</f>
        <v>0</v>
      </c>
      <c r="F43" s="21">
        <f>IF(P42&lt;&gt;"",P42,0)+IF(N45&lt;&gt;"",N45,0)+IF(N46&lt;&gt;"",N46,0)</f>
        <v>0</v>
      </c>
      <c r="G43" s="21">
        <f>IF(N42&lt;&gt;"",N42,0)+IF(P45&lt;&gt;"",P45,0)+IF(P46&lt;&gt;"",P46,0)</f>
        <v>0</v>
      </c>
      <c r="H43" s="21">
        <f>F43-G43</f>
        <v>0</v>
      </c>
      <c r="I43" s="13">
        <f>C43*3+D43</f>
        <v>0</v>
      </c>
      <c r="J43" s="22">
        <f>RANK(K43,K42:K45)</f>
        <v>1</v>
      </c>
      <c r="K43" s="15">
        <f>I43*10000+H43*100+F43</f>
        <v>0</v>
      </c>
      <c r="M43" s="16" t="str">
        <f>A42</f>
        <v>Germany</v>
      </c>
      <c r="N43" s="17"/>
      <c r="O43" s="18" t="s">
        <v>124</v>
      </c>
      <c r="P43" s="17"/>
      <c r="Q43" s="19" t="str">
        <f>A44</f>
        <v>Côte d'Ivoire</v>
      </c>
    </row>
    <row r="44" spans="1:17" ht="15" customHeight="1" x14ac:dyDescent="0.2">
      <c r="A44" s="11" t="s">
        <v>56</v>
      </c>
      <c r="B44" s="12">
        <f>C44+D44+E44</f>
        <v>0</v>
      </c>
      <c r="C44" s="12">
        <f>IF(AND(P43&lt;&gt;"",N43&lt;&gt;"",P43&gt;N43),1,0)+IF(AND(P45&lt;&gt;"",N45&lt;&gt;"",P45&gt;N45),1,0)+IF(AND(N47&lt;&gt;"",P47&lt;&gt;"",N47&gt;P47),1,0)</f>
        <v>0</v>
      </c>
      <c r="D44" s="12">
        <f>IF(AND(P43&lt;&gt;"",N43&lt;&gt;"",P43=N43),1,0)+IF(AND(P45&lt;&gt;"",N45&lt;&gt;"",P45=N45),1,0)+IF(AND(N47&lt;&gt;"",P47&lt;&gt;"",N47=P47),1,0)</f>
        <v>0</v>
      </c>
      <c r="E44" s="12">
        <f>IF(AND(P43&lt;&gt;"",N43&lt;&gt;"",P43&lt;N43),1,0)+IF(AND(P45&lt;&gt;"",N45&lt;&gt;"",P45&lt;N45),1,0)+IF(AND(N47&lt;&gt;"",P47&lt;&gt;"",N47&lt;P47),1,0)</f>
        <v>0</v>
      </c>
      <c r="F44" s="12">
        <f>IF(P43&lt;&gt;"",P43,0)+IF(P45&lt;&gt;"",P45,0)+IF(N47&lt;&gt;"",N47,0)</f>
        <v>0</v>
      </c>
      <c r="G44" s="12">
        <f>IF(N43&lt;&gt;"",N43,0)+IF(N45&lt;&gt;"",N45,0)+IF(P47&lt;&gt;"",P47,0)</f>
        <v>0</v>
      </c>
      <c r="H44" s="12">
        <f>F44-G44</f>
        <v>0</v>
      </c>
      <c r="I44" s="13">
        <f>C44*3+D44</f>
        <v>0</v>
      </c>
      <c r="J44" s="14">
        <f>RANK(K44,K42:K45)</f>
        <v>1</v>
      </c>
      <c r="K44" s="15">
        <f>I44*10000+H44*100+F44</f>
        <v>0</v>
      </c>
      <c r="M44" s="16" t="str">
        <f>A42</f>
        <v>Germany</v>
      </c>
      <c r="N44" s="17"/>
      <c r="O44" s="18" t="s">
        <v>124</v>
      </c>
      <c r="P44" s="17"/>
      <c r="Q44" s="19" t="str">
        <f>A45</f>
        <v>Curaçao</v>
      </c>
    </row>
    <row r="45" spans="1:17" ht="15" customHeight="1" x14ac:dyDescent="0.2">
      <c r="A45" s="20" t="s">
        <v>58</v>
      </c>
      <c r="B45" s="21">
        <f>C45+D45+E45</f>
        <v>0</v>
      </c>
      <c r="C45" s="21">
        <f>IF(AND(P44&lt;&gt;"",N44&lt;&gt;"",P44&gt;N44),1,0)+IF(AND(P46&lt;&gt;"",N46&lt;&gt;"",P46&gt;N46),1,0)+IF(AND(P47&lt;&gt;"",N47&lt;&gt;"",P47&gt;N47),1,0)</f>
        <v>0</v>
      </c>
      <c r="D45" s="21">
        <f>IF(AND(P44&lt;&gt;"",N44&lt;&gt;"",P44=N44),1,0)+IF(AND(P46&lt;&gt;"",N46&lt;&gt;"",P46=N46),1,0)+IF(AND(P47&lt;&gt;"",N47&lt;&gt;"",P47=N47),1,0)</f>
        <v>0</v>
      </c>
      <c r="E45" s="21">
        <f>IF(AND(P44&lt;&gt;"",N44&lt;&gt;"",P44&lt;N44),1,0)+IF(AND(P46&lt;&gt;"",N46&lt;&gt;"",P46&lt;N46),1,0)+IF(AND(P47&lt;&gt;"",N47&lt;&gt;"",P47&lt;N47),1,0)</f>
        <v>0</v>
      </c>
      <c r="F45" s="21">
        <f>IF(P44&lt;&gt;"",P44,0)+IF(P46&lt;&gt;"",P46,0)+IF(P47&lt;&gt;"",P47,0)</f>
        <v>0</v>
      </c>
      <c r="G45" s="21">
        <f>IF(N44&lt;&gt;"",N44,0)+IF(N46&lt;&gt;"",N46,0)+IF(N47&lt;&gt;"",N47,0)</f>
        <v>0</v>
      </c>
      <c r="H45" s="21">
        <f>F45-G45</f>
        <v>0</v>
      </c>
      <c r="I45" s="13">
        <f>C45*3+D45</f>
        <v>0</v>
      </c>
      <c r="J45" s="22">
        <f>RANK(K45,K42:K45)</f>
        <v>1</v>
      </c>
      <c r="K45" s="15">
        <f>I45*10000+H45*100+F45</f>
        <v>0</v>
      </c>
      <c r="M45" s="16" t="str">
        <f>A43</f>
        <v>Ecuador</v>
      </c>
      <c r="N45" s="17"/>
      <c r="O45" s="18" t="s">
        <v>124</v>
      </c>
      <c r="P45" s="17"/>
      <c r="Q45" s="19" t="str">
        <f>A44</f>
        <v>Côte d'Ivoire</v>
      </c>
    </row>
    <row r="46" spans="1:17" ht="15" customHeight="1" x14ac:dyDescent="0.2">
      <c r="M46" s="16" t="str">
        <f>A43</f>
        <v>Ecuador</v>
      </c>
      <c r="N46" s="17"/>
      <c r="O46" s="18" t="s">
        <v>124</v>
      </c>
      <c r="P46" s="17"/>
      <c r="Q46" s="19" t="str">
        <f>A45</f>
        <v>Curaçao</v>
      </c>
    </row>
    <row r="47" spans="1:17" ht="15" customHeight="1" x14ac:dyDescent="0.2">
      <c r="M47" s="16" t="str">
        <f>A44</f>
        <v>Côte d'Ivoire</v>
      </c>
      <c r="N47" s="17"/>
      <c r="O47" s="18" t="s">
        <v>124</v>
      </c>
      <c r="P47" s="17"/>
      <c r="Q47" s="19" t="str">
        <f>A45</f>
        <v>Curaçao</v>
      </c>
    </row>
    <row r="49" spans="1:17" ht="19.5" customHeight="1" x14ac:dyDescent="0.2">
      <c r="A49" s="73" t="s">
        <v>129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M49" s="74" t="s">
        <v>113</v>
      </c>
      <c r="N49" s="65"/>
      <c r="O49" s="65"/>
      <c r="P49" s="65"/>
      <c r="Q49" s="65"/>
    </row>
    <row r="50" spans="1:17" ht="15" customHeight="1" x14ac:dyDescent="0.2">
      <c r="A50" s="9" t="s">
        <v>21</v>
      </c>
      <c r="B50" s="9" t="s">
        <v>114</v>
      </c>
      <c r="C50" s="9" t="s">
        <v>115</v>
      </c>
      <c r="D50" s="9" t="s">
        <v>62</v>
      </c>
      <c r="E50" s="9" t="s">
        <v>95</v>
      </c>
      <c r="F50" s="9" t="s">
        <v>116</v>
      </c>
      <c r="G50" s="9" t="s">
        <v>117</v>
      </c>
      <c r="H50" s="9" t="s">
        <v>118</v>
      </c>
      <c r="I50" s="9" t="s">
        <v>119</v>
      </c>
      <c r="J50" s="9" t="s">
        <v>120</v>
      </c>
      <c r="K50" s="10" t="s">
        <v>121</v>
      </c>
      <c r="M50" s="9" t="s">
        <v>122</v>
      </c>
      <c r="N50" s="9"/>
      <c r="O50" s="9"/>
      <c r="P50" s="9"/>
      <c r="Q50" s="9" t="s">
        <v>123</v>
      </c>
    </row>
    <row r="51" spans="1:17" ht="15" customHeight="1" x14ac:dyDescent="0.2">
      <c r="A51" s="11" t="s">
        <v>59</v>
      </c>
      <c r="B51" s="12">
        <f>C51+D51+E51</f>
        <v>0</v>
      </c>
      <c r="C51" s="12">
        <f>IF(AND(N51&lt;&gt;"",P51&lt;&gt;"",N51&gt;P51),1,0)+IF(AND(N52&lt;&gt;"",P52&lt;&gt;"",N52&gt;P52),1,0)+IF(AND(N53&lt;&gt;"",P53&lt;&gt;"",N53&gt;P53),1,0)</f>
        <v>0</v>
      </c>
      <c r="D51" s="12">
        <f>IF(AND(N51&lt;&gt;"",P51&lt;&gt;"",N51=P51),1,0)+IF(AND(N52&lt;&gt;"",P52&lt;&gt;"",N52=P52),1,0)+IF(AND(N53&lt;&gt;"",P53&lt;&gt;"",N53=P53),1,0)</f>
        <v>0</v>
      </c>
      <c r="E51" s="12">
        <f>IF(AND(N51&lt;&gt;"",P51&lt;&gt;"",N51&lt;P51),1,0)+IF(AND(N52&lt;&gt;"",P52&lt;&gt;"",N52&lt;P52),1,0)+IF(AND(N53&lt;&gt;"",P53&lt;&gt;"",N53&lt;P53),1,0)</f>
        <v>0</v>
      </c>
      <c r="F51" s="12">
        <f>IF(N51&lt;&gt;"",N51,0)+IF(N52&lt;&gt;"",N52,0)+IF(N53&lt;&gt;"",N53,0)</f>
        <v>0</v>
      </c>
      <c r="G51" s="12">
        <f>IF(P51&lt;&gt;"",P51,0)+IF(P52&lt;&gt;"",P52,0)+IF(P53&lt;&gt;"",P53,0)</f>
        <v>0</v>
      </c>
      <c r="H51" s="12">
        <f>F51-G51</f>
        <v>0</v>
      </c>
      <c r="I51" s="13">
        <f>C51*3+D51</f>
        <v>0</v>
      </c>
      <c r="J51" s="14">
        <f>RANK(K51,K51:K54)</f>
        <v>1</v>
      </c>
      <c r="K51" s="15">
        <f>I51*10000+H51*100+F51</f>
        <v>0</v>
      </c>
      <c r="M51" s="16" t="str">
        <f>A51</f>
        <v>Netherlands</v>
      </c>
      <c r="N51" s="17"/>
      <c r="O51" s="18" t="s">
        <v>124</v>
      </c>
      <c r="P51" s="17"/>
      <c r="Q51" s="19" t="str">
        <f>A52</f>
        <v>Japan</v>
      </c>
    </row>
    <row r="52" spans="1:17" ht="15" customHeight="1" x14ac:dyDescent="0.2">
      <c r="A52" s="20" t="s">
        <v>60</v>
      </c>
      <c r="B52" s="21">
        <f>C52+D52+E52</f>
        <v>0</v>
      </c>
      <c r="C52" s="21">
        <f>IF(AND(P51&lt;&gt;"",N51&lt;&gt;"",P51&gt;N51),1,0)+IF(AND(N54&lt;&gt;"",P54&lt;&gt;"",N54&gt;P54),1,0)+IF(AND(N55&lt;&gt;"",P55&lt;&gt;"",N55&gt;P55),1,0)</f>
        <v>0</v>
      </c>
      <c r="D52" s="21">
        <f>IF(AND(P51&lt;&gt;"",N51&lt;&gt;"",P51=N51),1,0)+IF(AND(N54&lt;&gt;"",P54&lt;&gt;"",N54=P54),1,0)+IF(AND(N55&lt;&gt;"",P55&lt;&gt;"",N55=P55),1,0)</f>
        <v>0</v>
      </c>
      <c r="E52" s="21">
        <f>IF(AND(P51&lt;&gt;"",N51&lt;&gt;"",P51&lt;N51),1,0)+IF(AND(N54&lt;&gt;"",P54&lt;&gt;"",N54&lt;P54),1,0)+IF(AND(N55&lt;&gt;"",P55&lt;&gt;"",N55&lt;P55),1,0)</f>
        <v>0</v>
      </c>
      <c r="F52" s="21">
        <f>IF(P51&lt;&gt;"",P51,0)+IF(N54&lt;&gt;"",N54,0)+IF(N55&lt;&gt;"",N55,0)</f>
        <v>0</v>
      </c>
      <c r="G52" s="21">
        <f>IF(N51&lt;&gt;"",N51,0)+IF(P54&lt;&gt;"",P54,0)+IF(P55&lt;&gt;"",P55,0)</f>
        <v>0</v>
      </c>
      <c r="H52" s="21">
        <f>F52-G52</f>
        <v>0</v>
      </c>
      <c r="I52" s="13">
        <f>C52*3+D52</f>
        <v>0</v>
      </c>
      <c r="J52" s="22">
        <f>RANK(K52,K51:K54)</f>
        <v>1</v>
      </c>
      <c r="K52" s="15">
        <f>I52*10000+H52*100+F52</f>
        <v>0</v>
      </c>
      <c r="M52" s="16" t="str">
        <f>A51</f>
        <v>Netherlands</v>
      </c>
      <c r="N52" s="17"/>
      <c r="O52" s="18" t="s">
        <v>124</v>
      </c>
      <c r="P52" s="17"/>
      <c r="Q52" s="19" t="str">
        <f>A53</f>
        <v>Tunisia</v>
      </c>
    </row>
    <row r="53" spans="1:17" ht="15" customHeight="1" x14ac:dyDescent="0.2">
      <c r="A53" s="11" t="s">
        <v>61</v>
      </c>
      <c r="B53" s="12">
        <f>C53+D53+E53</f>
        <v>0</v>
      </c>
      <c r="C53" s="12">
        <f>IF(AND(P52&lt;&gt;"",N52&lt;&gt;"",P52&gt;N52),1,0)+IF(AND(P54&lt;&gt;"",N54&lt;&gt;"",P54&gt;N54),1,0)+IF(AND(N56&lt;&gt;"",P56&lt;&gt;"",N56&gt;P56),1,0)</f>
        <v>0</v>
      </c>
      <c r="D53" s="12">
        <f>IF(AND(P52&lt;&gt;"",N52&lt;&gt;"",P52=N52),1,0)+IF(AND(P54&lt;&gt;"",N54&lt;&gt;"",P54=N54),1,0)+IF(AND(N56&lt;&gt;"",P56&lt;&gt;"",N56=P56),1,0)</f>
        <v>0</v>
      </c>
      <c r="E53" s="12">
        <f>IF(AND(P52&lt;&gt;"",N52&lt;&gt;"",P52&lt;N52),1,0)+IF(AND(P54&lt;&gt;"",N54&lt;&gt;"",P54&lt;N54),1,0)+IF(AND(N56&lt;&gt;"",P56&lt;&gt;"",N56&lt;P56),1,0)</f>
        <v>0</v>
      </c>
      <c r="F53" s="12">
        <f>IF(P52&lt;&gt;"",P52,0)+IF(P54&lt;&gt;"",P54,0)+IF(N56&lt;&gt;"",N56,0)</f>
        <v>0</v>
      </c>
      <c r="G53" s="12">
        <f>IF(N52&lt;&gt;"",N52,0)+IF(N54&lt;&gt;"",N54,0)+IF(P56&lt;&gt;"",P56,0)</f>
        <v>0</v>
      </c>
      <c r="H53" s="12">
        <f>F53-G53</f>
        <v>0</v>
      </c>
      <c r="I53" s="13">
        <f>C53*3+D53</f>
        <v>0</v>
      </c>
      <c r="J53" s="14">
        <f>RANK(K53,K51:K54)</f>
        <v>1</v>
      </c>
      <c r="K53" s="15">
        <f>I53*10000+H53*100+F53</f>
        <v>0</v>
      </c>
      <c r="M53" s="16" t="str">
        <f>A51</f>
        <v>Netherlands</v>
      </c>
      <c r="N53" s="17"/>
      <c r="O53" s="18" t="s">
        <v>124</v>
      </c>
      <c r="P53" s="17"/>
      <c r="Q53" s="19" t="str">
        <f>A54</f>
        <v>Sweden</v>
      </c>
    </row>
    <row r="54" spans="1:17" ht="15" customHeight="1" x14ac:dyDescent="0.2">
      <c r="A54" s="20" t="s">
        <v>63</v>
      </c>
      <c r="B54" s="21">
        <f>C54+D54+E54</f>
        <v>0</v>
      </c>
      <c r="C54" s="21">
        <f>IF(AND(P53&lt;&gt;"",N53&lt;&gt;"",P53&gt;N53),1,0)+IF(AND(P55&lt;&gt;"",N55&lt;&gt;"",P55&gt;N55),1,0)+IF(AND(P56&lt;&gt;"",N56&lt;&gt;"",P56&gt;N56),1,0)</f>
        <v>0</v>
      </c>
      <c r="D54" s="21">
        <f>IF(AND(P53&lt;&gt;"",N53&lt;&gt;"",P53=N53),1,0)+IF(AND(P55&lt;&gt;"",N55&lt;&gt;"",P55=N55),1,0)+IF(AND(P56&lt;&gt;"",N56&lt;&gt;"",P56=N56),1,0)</f>
        <v>0</v>
      </c>
      <c r="E54" s="21">
        <f>IF(AND(P53&lt;&gt;"",N53&lt;&gt;"",P53&lt;N53),1,0)+IF(AND(P55&lt;&gt;"",N55&lt;&gt;"",P55&lt;N55),1,0)+IF(AND(P56&lt;&gt;"",N56&lt;&gt;"",P56&lt;N56),1,0)</f>
        <v>0</v>
      </c>
      <c r="F54" s="21">
        <f>IF(P53&lt;&gt;"",P53,0)+IF(P55&lt;&gt;"",P55,0)+IF(P56&lt;&gt;"",P56,0)</f>
        <v>0</v>
      </c>
      <c r="G54" s="21">
        <f>IF(N53&lt;&gt;"",N53,0)+IF(N55&lt;&gt;"",N55,0)+IF(N56&lt;&gt;"",N56,0)</f>
        <v>0</v>
      </c>
      <c r="H54" s="21">
        <f>F54-G54</f>
        <v>0</v>
      </c>
      <c r="I54" s="13">
        <f>C54*3+D54</f>
        <v>0</v>
      </c>
      <c r="J54" s="22">
        <f>RANK(K54,K51:K54)</f>
        <v>1</v>
      </c>
      <c r="K54" s="15">
        <f>I54*10000+H54*100+F54</f>
        <v>0</v>
      </c>
      <c r="M54" s="16" t="str">
        <f>A52</f>
        <v>Japan</v>
      </c>
      <c r="N54" s="17"/>
      <c r="O54" s="18" t="s">
        <v>124</v>
      </c>
      <c r="P54" s="17"/>
      <c r="Q54" s="19" t="str">
        <f>A53</f>
        <v>Tunisia</v>
      </c>
    </row>
    <row r="55" spans="1:17" ht="15" customHeight="1" x14ac:dyDescent="0.2">
      <c r="M55" s="16" t="str">
        <f>A52</f>
        <v>Japan</v>
      </c>
      <c r="N55" s="17"/>
      <c r="O55" s="18" t="s">
        <v>124</v>
      </c>
      <c r="P55" s="17"/>
      <c r="Q55" s="19" t="str">
        <f>A54</f>
        <v>Sweden</v>
      </c>
    </row>
    <row r="56" spans="1:17" ht="15" customHeight="1" x14ac:dyDescent="0.2">
      <c r="M56" s="16" t="str">
        <f>A53</f>
        <v>Tunisia</v>
      </c>
      <c r="N56" s="17"/>
      <c r="O56" s="18" t="s">
        <v>124</v>
      </c>
      <c r="P56" s="17"/>
      <c r="Q56" s="19" t="str">
        <f>A54</f>
        <v>Sweden</v>
      </c>
    </row>
    <row r="58" spans="1:17" ht="19.5" customHeight="1" x14ac:dyDescent="0.2">
      <c r="A58" s="73" t="s">
        <v>130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M58" s="74" t="s">
        <v>113</v>
      </c>
      <c r="N58" s="65"/>
      <c r="O58" s="65"/>
      <c r="P58" s="65"/>
      <c r="Q58" s="65"/>
    </row>
    <row r="59" spans="1:17" ht="15" customHeight="1" x14ac:dyDescent="0.2">
      <c r="A59" s="9" t="s">
        <v>21</v>
      </c>
      <c r="B59" s="9" t="s">
        <v>114</v>
      </c>
      <c r="C59" s="9" t="s">
        <v>115</v>
      </c>
      <c r="D59" s="9" t="s">
        <v>62</v>
      </c>
      <c r="E59" s="9" t="s">
        <v>95</v>
      </c>
      <c r="F59" s="9" t="s">
        <v>116</v>
      </c>
      <c r="G59" s="9" t="s">
        <v>117</v>
      </c>
      <c r="H59" s="9" t="s">
        <v>118</v>
      </c>
      <c r="I59" s="9" t="s">
        <v>119</v>
      </c>
      <c r="J59" s="9" t="s">
        <v>120</v>
      </c>
      <c r="K59" s="10" t="s">
        <v>121</v>
      </c>
      <c r="M59" s="9" t="s">
        <v>122</v>
      </c>
      <c r="N59" s="9"/>
      <c r="O59" s="9"/>
      <c r="P59" s="9"/>
      <c r="Q59" s="9" t="s">
        <v>123</v>
      </c>
    </row>
    <row r="60" spans="1:17" ht="15" customHeight="1" x14ac:dyDescent="0.2">
      <c r="A60" s="11" t="s">
        <v>64</v>
      </c>
      <c r="B60" s="12">
        <f>C60+D60+E60</f>
        <v>0</v>
      </c>
      <c r="C60" s="12">
        <f>IF(AND(N60&lt;&gt;"",P60&lt;&gt;"",N60&gt;P60),1,0)+IF(AND(N61&lt;&gt;"",P61&lt;&gt;"",N61&gt;P61),1,0)+IF(AND(N62&lt;&gt;"",P62&lt;&gt;"",N62&gt;P62),1,0)</f>
        <v>0</v>
      </c>
      <c r="D60" s="12">
        <f>IF(AND(N60&lt;&gt;"",P60&lt;&gt;"",N60=P60),1,0)+IF(AND(N61&lt;&gt;"",P61&lt;&gt;"",N61=P61),1,0)+IF(AND(N62&lt;&gt;"",P62&lt;&gt;"",N62=P62),1,0)</f>
        <v>0</v>
      </c>
      <c r="E60" s="12">
        <f>IF(AND(N60&lt;&gt;"",P60&lt;&gt;"",N60&lt;P60),1,0)+IF(AND(N61&lt;&gt;"",P61&lt;&gt;"",N61&lt;P61),1,0)+IF(AND(N62&lt;&gt;"",P62&lt;&gt;"",N62&lt;P62),1,0)</f>
        <v>0</v>
      </c>
      <c r="F60" s="12">
        <f>IF(N60&lt;&gt;"",N60,0)+IF(N61&lt;&gt;"",N61,0)+IF(N62&lt;&gt;"",N62,0)</f>
        <v>0</v>
      </c>
      <c r="G60" s="12">
        <f>IF(P60&lt;&gt;"",P60,0)+IF(P61&lt;&gt;"",P61,0)+IF(P62&lt;&gt;"",P62,0)</f>
        <v>0</v>
      </c>
      <c r="H60" s="12">
        <f>F60-G60</f>
        <v>0</v>
      </c>
      <c r="I60" s="13">
        <f>C60*3+D60</f>
        <v>0</v>
      </c>
      <c r="J60" s="14">
        <f>RANK(K60,K60:K63)</f>
        <v>1</v>
      </c>
      <c r="K60" s="15">
        <f>I60*10000+H60*100+F60</f>
        <v>0</v>
      </c>
      <c r="M60" s="16" t="str">
        <f>A60</f>
        <v>Belgium</v>
      </c>
      <c r="N60" s="17"/>
      <c r="O60" s="18" t="s">
        <v>124</v>
      </c>
      <c r="P60" s="17"/>
      <c r="Q60" s="19" t="str">
        <f>A61</f>
        <v>Iran</v>
      </c>
    </row>
    <row r="61" spans="1:17" ht="15" customHeight="1" x14ac:dyDescent="0.2">
      <c r="A61" s="20" t="s">
        <v>65</v>
      </c>
      <c r="B61" s="21">
        <f>C61+D61+E61</f>
        <v>0</v>
      </c>
      <c r="C61" s="21">
        <f>IF(AND(P60&lt;&gt;"",N60&lt;&gt;"",P60&gt;N60),1,0)+IF(AND(N63&lt;&gt;"",P63&lt;&gt;"",N63&gt;P63),1,0)+IF(AND(N64&lt;&gt;"",P64&lt;&gt;"",N64&gt;P64),1,0)</f>
        <v>0</v>
      </c>
      <c r="D61" s="21">
        <f>IF(AND(P60&lt;&gt;"",N60&lt;&gt;"",P60=N60),1,0)+IF(AND(N63&lt;&gt;"",P63&lt;&gt;"",N63=P63),1,0)+IF(AND(N64&lt;&gt;"",P64&lt;&gt;"",N64=P64),1,0)</f>
        <v>0</v>
      </c>
      <c r="E61" s="21">
        <f>IF(AND(P60&lt;&gt;"",N60&lt;&gt;"",P60&lt;N60),1,0)+IF(AND(N63&lt;&gt;"",P63&lt;&gt;"",N63&lt;P63),1,0)+IF(AND(N64&lt;&gt;"",P64&lt;&gt;"",N64&lt;P64),1,0)</f>
        <v>0</v>
      </c>
      <c r="F61" s="21">
        <f>IF(P60&lt;&gt;"",P60,0)+IF(N63&lt;&gt;"",N63,0)+IF(N64&lt;&gt;"",N64,0)</f>
        <v>0</v>
      </c>
      <c r="G61" s="21">
        <f>IF(N60&lt;&gt;"",N60,0)+IF(P63&lt;&gt;"",P63,0)+IF(P64&lt;&gt;"",P64,0)</f>
        <v>0</v>
      </c>
      <c r="H61" s="21">
        <f>F61-G61</f>
        <v>0</v>
      </c>
      <c r="I61" s="13">
        <f>C61*3+D61</f>
        <v>0</v>
      </c>
      <c r="J61" s="22">
        <f>RANK(K61,K60:K63)</f>
        <v>1</v>
      </c>
      <c r="K61" s="15">
        <f>I61*10000+H61*100+F61</f>
        <v>0</v>
      </c>
      <c r="M61" s="16" t="str">
        <f>A60</f>
        <v>Belgium</v>
      </c>
      <c r="N61" s="17"/>
      <c r="O61" s="18" t="s">
        <v>124</v>
      </c>
      <c r="P61" s="17"/>
      <c r="Q61" s="19" t="str">
        <f>A62</f>
        <v>Egypt</v>
      </c>
    </row>
    <row r="62" spans="1:17" ht="15" customHeight="1" x14ac:dyDescent="0.2">
      <c r="A62" s="11" t="s">
        <v>66</v>
      </c>
      <c r="B62" s="12">
        <f>C62+D62+E62</f>
        <v>0</v>
      </c>
      <c r="C62" s="12">
        <f>IF(AND(P61&lt;&gt;"",N61&lt;&gt;"",P61&gt;N61),1,0)+IF(AND(P63&lt;&gt;"",N63&lt;&gt;"",P63&gt;N63),1,0)+IF(AND(N65&lt;&gt;"",P65&lt;&gt;"",N65&gt;P65),1,0)</f>
        <v>0</v>
      </c>
      <c r="D62" s="12">
        <f>IF(AND(P61&lt;&gt;"",N61&lt;&gt;"",P61=N61),1,0)+IF(AND(P63&lt;&gt;"",N63&lt;&gt;"",P63=N63),1,0)+IF(AND(N65&lt;&gt;"",P65&lt;&gt;"",N65=P65),1,0)</f>
        <v>0</v>
      </c>
      <c r="E62" s="12">
        <f>IF(AND(P61&lt;&gt;"",N61&lt;&gt;"",P61&lt;N61),1,0)+IF(AND(P63&lt;&gt;"",N63&lt;&gt;"",P63&lt;N63),1,0)+IF(AND(N65&lt;&gt;"",P65&lt;&gt;"",N65&lt;P65),1,0)</f>
        <v>0</v>
      </c>
      <c r="F62" s="12">
        <f>IF(P61&lt;&gt;"",P61,0)+IF(P63&lt;&gt;"",P63,0)+IF(N65&lt;&gt;"",N65,0)</f>
        <v>0</v>
      </c>
      <c r="G62" s="12">
        <f>IF(N61&lt;&gt;"",N61,0)+IF(N63&lt;&gt;"",N63,0)+IF(P65&lt;&gt;"",P65,0)</f>
        <v>0</v>
      </c>
      <c r="H62" s="12">
        <f>F62-G62</f>
        <v>0</v>
      </c>
      <c r="I62" s="13">
        <f>C62*3+D62</f>
        <v>0</v>
      </c>
      <c r="J62" s="14">
        <f>RANK(K62,K60:K63)</f>
        <v>1</v>
      </c>
      <c r="K62" s="15">
        <f>I62*10000+H62*100+F62</f>
        <v>0</v>
      </c>
      <c r="M62" s="16" t="str">
        <f>A60</f>
        <v>Belgium</v>
      </c>
      <c r="N62" s="17"/>
      <c r="O62" s="18" t="s">
        <v>124</v>
      </c>
      <c r="P62" s="17"/>
      <c r="Q62" s="19" t="str">
        <f>A63</f>
        <v>New Zealand</v>
      </c>
    </row>
    <row r="63" spans="1:17" ht="15" customHeight="1" x14ac:dyDescent="0.2">
      <c r="A63" s="20" t="s">
        <v>68</v>
      </c>
      <c r="B63" s="21">
        <f>C63+D63+E63</f>
        <v>0</v>
      </c>
      <c r="C63" s="21">
        <f>IF(AND(P62&lt;&gt;"",N62&lt;&gt;"",P62&gt;N62),1,0)+IF(AND(P64&lt;&gt;"",N64&lt;&gt;"",P64&gt;N64),1,0)+IF(AND(P65&lt;&gt;"",N65&lt;&gt;"",P65&gt;N65),1,0)</f>
        <v>0</v>
      </c>
      <c r="D63" s="21">
        <f>IF(AND(P62&lt;&gt;"",N62&lt;&gt;"",P62=N62),1,0)+IF(AND(P64&lt;&gt;"",N64&lt;&gt;"",P64=N64),1,0)+IF(AND(P65&lt;&gt;"",N65&lt;&gt;"",P65=N65),1,0)</f>
        <v>0</v>
      </c>
      <c r="E63" s="21">
        <f>IF(AND(P62&lt;&gt;"",N62&lt;&gt;"",P62&lt;N62),1,0)+IF(AND(P64&lt;&gt;"",N64&lt;&gt;"",P64&lt;N64),1,0)+IF(AND(P65&lt;&gt;"",N65&lt;&gt;"",P65&lt;N65),1,0)</f>
        <v>0</v>
      </c>
      <c r="F63" s="21">
        <f>IF(P62&lt;&gt;"",P62,0)+IF(P64&lt;&gt;"",P64,0)+IF(P65&lt;&gt;"",P65,0)</f>
        <v>0</v>
      </c>
      <c r="G63" s="21">
        <f>IF(N62&lt;&gt;"",N62,0)+IF(N64&lt;&gt;"",N64,0)+IF(N65&lt;&gt;"",N65,0)</f>
        <v>0</v>
      </c>
      <c r="H63" s="21">
        <f>F63-G63</f>
        <v>0</v>
      </c>
      <c r="I63" s="13">
        <f>C63*3+D63</f>
        <v>0</v>
      </c>
      <c r="J63" s="22">
        <f>RANK(K63,K60:K63)</f>
        <v>1</v>
      </c>
      <c r="K63" s="15">
        <f>I63*10000+H63*100+F63</f>
        <v>0</v>
      </c>
      <c r="M63" s="16" t="str">
        <f>A61</f>
        <v>Iran</v>
      </c>
      <c r="N63" s="17"/>
      <c r="O63" s="18" t="s">
        <v>124</v>
      </c>
      <c r="P63" s="17"/>
      <c r="Q63" s="19" t="str">
        <f>A62</f>
        <v>Egypt</v>
      </c>
    </row>
    <row r="64" spans="1:17" ht="15" customHeight="1" x14ac:dyDescent="0.2">
      <c r="M64" s="16" t="str">
        <f>A61</f>
        <v>Iran</v>
      </c>
      <c r="N64" s="17"/>
      <c r="O64" s="18" t="s">
        <v>124</v>
      </c>
      <c r="P64" s="17"/>
      <c r="Q64" s="19" t="str">
        <f>A63</f>
        <v>New Zealand</v>
      </c>
    </row>
    <row r="65" spans="1:17" ht="15" customHeight="1" x14ac:dyDescent="0.2">
      <c r="M65" s="16" t="str">
        <f>A62</f>
        <v>Egypt</v>
      </c>
      <c r="N65" s="17"/>
      <c r="O65" s="18" t="s">
        <v>124</v>
      </c>
      <c r="P65" s="17"/>
      <c r="Q65" s="19" t="str">
        <f>A63</f>
        <v>New Zealand</v>
      </c>
    </row>
    <row r="67" spans="1:17" ht="19.5" customHeight="1" x14ac:dyDescent="0.2">
      <c r="A67" s="73" t="s">
        <v>131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M67" s="74" t="s">
        <v>113</v>
      </c>
      <c r="N67" s="65"/>
      <c r="O67" s="65"/>
      <c r="P67" s="65"/>
      <c r="Q67" s="65"/>
    </row>
    <row r="68" spans="1:17" ht="15" customHeight="1" x14ac:dyDescent="0.2">
      <c r="A68" s="9" t="s">
        <v>21</v>
      </c>
      <c r="B68" s="9" t="s">
        <v>114</v>
      </c>
      <c r="C68" s="9" t="s">
        <v>115</v>
      </c>
      <c r="D68" s="9" t="s">
        <v>62</v>
      </c>
      <c r="E68" s="9" t="s">
        <v>95</v>
      </c>
      <c r="F68" s="9" t="s">
        <v>116</v>
      </c>
      <c r="G68" s="9" t="s">
        <v>117</v>
      </c>
      <c r="H68" s="9" t="s">
        <v>118</v>
      </c>
      <c r="I68" s="9" t="s">
        <v>119</v>
      </c>
      <c r="J68" s="9" t="s">
        <v>120</v>
      </c>
      <c r="K68" s="10" t="s">
        <v>121</v>
      </c>
      <c r="M68" s="9" t="s">
        <v>122</v>
      </c>
      <c r="N68" s="9"/>
      <c r="O68" s="9"/>
      <c r="P68" s="9"/>
      <c r="Q68" s="9" t="s">
        <v>123</v>
      </c>
    </row>
    <row r="69" spans="1:17" ht="15" customHeight="1" x14ac:dyDescent="0.2">
      <c r="A69" s="11" t="s">
        <v>69</v>
      </c>
      <c r="B69" s="12">
        <f>C69+D69+E69</f>
        <v>0</v>
      </c>
      <c r="C69" s="12">
        <f>IF(AND(N69&lt;&gt;"",P69&lt;&gt;"",N69&gt;P69),1,0)+IF(AND(N70&lt;&gt;"",P70&lt;&gt;"",N70&gt;P70),1,0)+IF(AND(N71&lt;&gt;"",P71&lt;&gt;"",N71&gt;P71),1,0)</f>
        <v>0</v>
      </c>
      <c r="D69" s="12">
        <f>IF(AND(N69&lt;&gt;"",P69&lt;&gt;"",N69=P69),1,0)+IF(AND(N70&lt;&gt;"",P70&lt;&gt;"",N70=P70),1,0)+IF(AND(N71&lt;&gt;"",P71&lt;&gt;"",N71=P71),1,0)</f>
        <v>0</v>
      </c>
      <c r="E69" s="12">
        <f>IF(AND(N69&lt;&gt;"",P69&lt;&gt;"",N69&lt;P69),1,0)+IF(AND(N70&lt;&gt;"",P70&lt;&gt;"",N70&lt;P70),1,0)+IF(AND(N71&lt;&gt;"",P71&lt;&gt;"",N71&lt;P71),1,0)</f>
        <v>0</v>
      </c>
      <c r="F69" s="12">
        <f>IF(N69&lt;&gt;"",N69,0)+IF(N70&lt;&gt;"",N70,0)+IF(N71&lt;&gt;"",N71,0)</f>
        <v>0</v>
      </c>
      <c r="G69" s="12">
        <f>IF(P69&lt;&gt;"",P69,0)+IF(P70&lt;&gt;"",P70,0)+IF(P71&lt;&gt;"",P71,0)</f>
        <v>0</v>
      </c>
      <c r="H69" s="12">
        <f>F69-G69</f>
        <v>0</v>
      </c>
      <c r="I69" s="13">
        <f>C69*3+D69</f>
        <v>0</v>
      </c>
      <c r="J69" s="14">
        <f>RANK(K69,K69:K72)</f>
        <v>1</v>
      </c>
      <c r="K69" s="15">
        <f>I69*10000+H69*100+F69</f>
        <v>0</v>
      </c>
      <c r="M69" s="16" t="str">
        <f>A69</f>
        <v>Spain</v>
      </c>
      <c r="N69" s="17"/>
      <c r="O69" s="18" t="s">
        <v>124</v>
      </c>
      <c r="P69" s="17"/>
      <c r="Q69" s="19" t="str">
        <f>A70</f>
        <v>Uruguay</v>
      </c>
    </row>
    <row r="70" spans="1:17" ht="15" customHeight="1" x14ac:dyDescent="0.2">
      <c r="A70" s="20" t="s">
        <v>70</v>
      </c>
      <c r="B70" s="21">
        <f>C70+D70+E70</f>
        <v>0</v>
      </c>
      <c r="C70" s="21">
        <f>IF(AND(P69&lt;&gt;"",N69&lt;&gt;"",P69&gt;N69),1,0)+IF(AND(N72&lt;&gt;"",P72&lt;&gt;"",N72&gt;P72),1,0)+IF(AND(N73&lt;&gt;"",P73&lt;&gt;"",N73&gt;P73),1,0)</f>
        <v>0</v>
      </c>
      <c r="D70" s="21">
        <f>IF(AND(P69&lt;&gt;"",N69&lt;&gt;"",P69=N69),1,0)+IF(AND(N72&lt;&gt;"",P72&lt;&gt;"",N72=P72),1,0)+IF(AND(N73&lt;&gt;"",P73&lt;&gt;"",N73=P73),1,0)</f>
        <v>0</v>
      </c>
      <c r="E70" s="21">
        <f>IF(AND(P69&lt;&gt;"",N69&lt;&gt;"",P69&lt;N69),1,0)+IF(AND(N72&lt;&gt;"",P72&lt;&gt;"",N72&lt;P72),1,0)+IF(AND(N73&lt;&gt;"",P73&lt;&gt;"",N73&lt;P73),1,0)</f>
        <v>0</v>
      </c>
      <c r="F70" s="21">
        <f>IF(P69&lt;&gt;"",P69,0)+IF(N72&lt;&gt;"",N72,0)+IF(N73&lt;&gt;"",N73,0)</f>
        <v>0</v>
      </c>
      <c r="G70" s="21">
        <f>IF(N69&lt;&gt;"",N69,0)+IF(P72&lt;&gt;"",P72,0)+IF(P73&lt;&gt;"",P73,0)</f>
        <v>0</v>
      </c>
      <c r="H70" s="21">
        <f>F70-G70</f>
        <v>0</v>
      </c>
      <c r="I70" s="13">
        <f>C70*3+D70</f>
        <v>0</v>
      </c>
      <c r="J70" s="22">
        <f>RANK(K70,K69:K72)</f>
        <v>1</v>
      </c>
      <c r="K70" s="15">
        <f>I70*10000+H70*100+F70</f>
        <v>0</v>
      </c>
      <c r="M70" s="16" t="str">
        <f>A69</f>
        <v>Spain</v>
      </c>
      <c r="N70" s="17"/>
      <c r="O70" s="18" t="s">
        <v>124</v>
      </c>
      <c r="P70" s="17"/>
      <c r="Q70" s="19" t="str">
        <f>A71</f>
        <v>Saudi Arabia</v>
      </c>
    </row>
    <row r="71" spans="1:17" ht="15" customHeight="1" x14ac:dyDescent="0.2">
      <c r="A71" s="11" t="s">
        <v>71</v>
      </c>
      <c r="B71" s="12">
        <f>C71+D71+E71</f>
        <v>0</v>
      </c>
      <c r="C71" s="12">
        <f>IF(AND(P70&lt;&gt;"",N70&lt;&gt;"",P70&gt;N70),1,0)+IF(AND(P72&lt;&gt;"",N72&lt;&gt;"",P72&gt;N72),1,0)+IF(AND(N74&lt;&gt;"",P74&lt;&gt;"",N74&gt;P74),1,0)</f>
        <v>0</v>
      </c>
      <c r="D71" s="12">
        <f>IF(AND(P70&lt;&gt;"",N70&lt;&gt;"",P70=N70),1,0)+IF(AND(P72&lt;&gt;"",N72&lt;&gt;"",P72=N72),1,0)+IF(AND(N74&lt;&gt;"",P74&lt;&gt;"",N74=P74),1,0)</f>
        <v>0</v>
      </c>
      <c r="E71" s="12">
        <f>IF(AND(P70&lt;&gt;"",N70&lt;&gt;"",P70&lt;N70),1,0)+IF(AND(P72&lt;&gt;"",N72&lt;&gt;"",P72&lt;N72),1,0)+IF(AND(N74&lt;&gt;"",P74&lt;&gt;"",N74&lt;P74),1,0)</f>
        <v>0</v>
      </c>
      <c r="F71" s="12">
        <f>IF(P70&lt;&gt;"",P70,0)+IF(P72&lt;&gt;"",P72,0)+IF(N74&lt;&gt;"",N74,0)</f>
        <v>0</v>
      </c>
      <c r="G71" s="12">
        <f>IF(N70&lt;&gt;"",N70,0)+IF(N72&lt;&gt;"",N72,0)+IF(P74&lt;&gt;"",P74,0)</f>
        <v>0</v>
      </c>
      <c r="H71" s="12">
        <f>F71-G71</f>
        <v>0</v>
      </c>
      <c r="I71" s="13">
        <f>C71*3+D71</f>
        <v>0</v>
      </c>
      <c r="J71" s="14">
        <f>RANK(K71,K69:K72)</f>
        <v>1</v>
      </c>
      <c r="K71" s="15">
        <f>I71*10000+H71*100+F71</f>
        <v>0</v>
      </c>
      <c r="M71" s="16" t="str">
        <f>A69</f>
        <v>Spain</v>
      </c>
      <c r="N71" s="17"/>
      <c r="O71" s="18" t="s">
        <v>124</v>
      </c>
      <c r="P71" s="17"/>
      <c r="Q71" s="19" t="str">
        <f>A72</f>
        <v>Cabo Verde</v>
      </c>
    </row>
    <row r="72" spans="1:17" ht="15" customHeight="1" x14ac:dyDescent="0.2">
      <c r="A72" s="20" t="s">
        <v>73</v>
      </c>
      <c r="B72" s="21">
        <f>C72+D72+E72</f>
        <v>0</v>
      </c>
      <c r="C72" s="21">
        <f>IF(AND(P71&lt;&gt;"",N71&lt;&gt;"",P71&gt;N71),1,0)+IF(AND(P73&lt;&gt;"",N73&lt;&gt;"",P73&gt;N73),1,0)+IF(AND(P74&lt;&gt;"",N74&lt;&gt;"",P74&gt;N74),1,0)</f>
        <v>0</v>
      </c>
      <c r="D72" s="21">
        <f>IF(AND(P71&lt;&gt;"",N71&lt;&gt;"",P71=N71),1,0)+IF(AND(P73&lt;&gt;"",N73&lt;&gt;"",P73=N73),1,0)+IF(AND(P74&lt;&gt;"",N74&lt;&gt;"",P74=N74),1,0)</f>
        <v>0</v>
      </c>
      <c r="E72" s="21">
        <f>IF(AND(P71&lt;&gt;"",N71&lt;&gt;"",P71&lt;N71),1,0)+IF(AND(P73&lt;&gt;"",N73&lt;&gt;"",P73&lt;N73),1,0)+IF(AND(P74&lt;&gt;"",N74&lt;&gt;"",P74&lt;N74),1,0)</f>
        <v>0</v>
      </c>
      <c r="F72" s="21">
        <f>IF(P71&lt;&gt;"",P71,0)+IF(P73&lt;&gt;"",P73,0)+IF(P74&lt;&gt;"",P74,0)</f>
        <v>0</v>
      </c>
      <c r="G72" s="21">
        <f>IF(N71&lt;&gt;"",N71,0)+IF(N73&lt;&gt;"",N73,0)+IF(N74&lt;&gt;"",N74,0)</f>
        <v>0</v>
      </c>
      <c r="H72" s="21">
        <f>F72-G72</f>
        <v>0</v>
      </c>
      <c r="I72" s="13">
        <f>C72*3+D72</f>
        <v>0</v>
      </c>
      <c r="J72" s="22">
        <f>RANK(K72,K69:K72)</f>
        <v>1</v>
      </c>
      <c r="K72" s="15">
        <f>I72*10000+H72*100+F72</f>
        <v>0</v>
      </c>
      <c r="M72" s="16" t="str">
        <f>A70</f>
        <v>Uruguay</v>
      </c>
      <c r="N72" s="17"/>
      <c r="O72" s="18" t="s">
        <v>124</v>
      </c>
      <c r="P72" s="17"/>
      <c r="Q72" s="19" t="str">
        <f>A71</f>
        <v>Saudi Arabia</v>
      </c>
    </row>
    <row r="73" spans="1:17" ht="15" customHeight="1" x14ac:dyDescent="0.2">
      <c r="M73" s="16" t="str">
        <f>A70</f>
        <v>Uruguay</v>
      </c>
      <c r="N73" s="17"/>
      <c r="O73" s="18" t="s">
        <v>124</v>
      </c>
      <c r="P73" s="17"/>
      <c r="Q73" s="19" t="str">
        <f>A72</f>
        <v>Cabo Verde</v>
      </c>
    </row>
    <row r="74" spans="1:17" ht="15" customHeight="1" x14ac:dyDescent="0.2">
      <c r="M74" s="16" t="str">
        <f>A71</f>
        <v>Saudi Arabia</v>
      </c>
      <c r="N74" s="17"/>
      <c r="O74" s="18" t="s">
        <v>124</v>
      </c>
      <c r="P74" s="17"/>
      <c r="Q74" s="19" t="str">
        <f>A72</f>
        <v>Cabo Verde</v>
      </c>
    </row>
    <row r="76" spans="1:17" ht="19.5" customHeight="1" x14ac:dyDescent="0.2">
      <c r="A76" s="73" t="s">
        <v>132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M76" s="74" t="s">
        <v>113</v>
      </c>
      <c r="N76" s="65"/>
      <c r="O76" s="65"/>
      <c r="P76" s="65"/>
      <c r="Q76" s="65"/>
    </row>
    <row r="77" spans="1:17" ht="15" customHeight="1" x14ac:dyDescent="0.2">
      <c r="A77" s="9" t="s">
        <v>21</v>
      </c>
      <c r="B77" s="9" t="s">
        <v>114</v>
      </c>
      <c r="C77" s="9" t="s">
        <v>115</v>
      </c>
      <c r="D77" s="9" t="s">
        <v>62</v>
      </c>
      <c r="E77" s="9" t="s">
        <v>95</v>
      </c>
      <c r="F77" s="9" t="s">
        <v>116</v>
      </c>
      <c r="G77" s="9" t="s">
        <v>117</v>
      </c>
      <c r="H77" s="9" t="s">
        <v>118</v>
      </c>
      <c r="I77" s="9" t="s">
        <v>119</v>
      </c>
      <c r="J77" s="9" t="s">
        <v>120</v>
      </c>
      <c r="K77" s="10" t="s">
        <v>121</v>
      </c>
      <c r="M77" s="9" t="s">
        <v>122</v>
      </c>
      <c r="N77" s="9"/>
      <c r="O77" s="9"/>
      <c r="P77" s="9"/>
      <c r="Q77" s="9" t="s">
        <v>123</v>
      </c>
    </row>
    <row r="78" spans="1:17" ht="15" customHeight="1" x14ac:dyDescent="0.2">
      <c r="A78" s="11" t="s">
        <v>74</v>
      </c>
      <c r="B78" s="12">
        <f>C78+D78+E78</f>
        <v>0</v>
      </c>
      <c r="C78" s="12">
        <f>IF(AND(N78&lt;&gt;"",P78&lt;&gt;"",N78&gt;P78),1,0)+IF(AND(N79&lt;&gt;"",P79&lt;&gt;"",N79&gt;P79),1,0)+IF(AND(N80&lt;&gt;"",P80&lt;&gt;"",N80&gt;P80),1,0)</f>
        <v>0</v>
      </c>
      <c r="D78" s="12">
        <f>IF(AND(N78&lt;&gt;"",P78&lt;&gt;"",N78=P78),1,0)+IF(AND(N79&lt;&gt;"",P79&lt;&gt;"",N79=P79),1,0)+IF(AND(N80&lt;&gt;"",P80&lt;&gt;"",N80=P80),1,0)</f>
        <v>0</v>
      </c>
      <c r="E78" s="12">
        <f>IF(AND(N78&lt;&gt;"",P78&lt;&gt;"",N78&lt;P78),1,0)+IF(AND(N79&lt;&gt;"",P79&lt;&gt;"",N79&lt;P79),1,0)+IF(AND(N80&lt;&gt;"",P80&lt;&gt;"",N80&lt;P80),1,0)</f>
        <v>0</v>
      </c>
      <c r="F78" s="12">
        <f>IF(N78&lt;&gt;"",N78,0)+IF(N79&lt;&gt;"",N79,0)+IF(N80&lt;&gt;"",N80,0)</f>
        <v>0</v>
      </c>
      <c r="G78" s="12">
        <f>IF(P78&lt;&gt;"",P78,0)+IF(P79&lt;&gt;"",P79,0)+IF(P80&lt;&gt;"",P80,0)</f>
        <v>0</v>
      </c>
      <c r="H78" s="12">
        <f>F78-G78</f>
        <v>0</v>
      </c>
      <c r="I78" s="13">
        <f>C78*3+D78</f>
        <v>0</v>
      </c>
      <c r="J78" s="14">
        <f>RANK(K78,K78:K81)</f>
        <v>1</v>
      </c>
      <c r="K78" s="15">
        <f>I78*10000+H78*100+F78</f>
        <v>0</v>
      </c>
      <c r="M78" s="16" t="str">
        <f>A78</f>
        <v>France</v>
      </c>
      <c r="N78" s="17"/>
      <c r="O78" s="18" t="s">
        <v>124</v>
      </c>
      <c r="P78" s="17"/>
      <c r="Q78" s="19" t="str">
        <f>A79</f>
        <v>Senegal</v>
      </c>
    </row>
    <row r="79" spans="1:17" ht="15" customHeight="1" x14ac:dyDescent="0.2">
      <c r="A79" s="20" t="s">
        <v>75</v>
      </c>
      <c r="B79" s="21">
        <f>C79+D79+E79</f>
        <v>0</v>
      </c>
      <c r="C79" s="21">
        <f>IF(AND(P78&lt;&gt;"",N78&lt;&gt;"",P78&gt;N78),1,0)+IF(AND(N81&lt;&gt;"",P81&lt;&gt;"",N81&gt;P81),1,0)+IF(AND(N82&lt;&gt;"",P82&lt;&gt;"",N82&gt;P82),1,0)</f>
        <v>0</v>
      </c>
      <c r="D79" s="21">
        <f>IF(AND(P78&lt;&gt;"",N78&lt;&gt;"",P78=N78),1,0)+IF(AND(N81&lt;&gt;"",P81&lt;&gt;"",N81=P81),1,0)+IF(AND(N82&lt;&gt;"",P82&lt;&gt;"",N82=P82),1,0)</f>
        <v>0</v>
      </c>
      <c r="E79" s="21">
        <f>IF(AND(P78&lt;&gt;"",N78&lt;&gt;"",P78&lt;N78),1,0)+IF(AND(N81&lt;&gt;"",P81&lt;&gt;"",N81&lt;P81),1,0)+IF(AND(N82&lt;&gt;"",P82&lt;&gt;"",N82&lt;P82),1,0)</f>
        <v>0</v>
      </c>
      <c r="F79" s="21">
        <f>IF(P78&lt;&gt;"",P78,0)+IF(N81&lt;&gt;"",N81,0)+IF(N82&lt;&gt;"",N82,0)</f>
        <v>0</v>
      </c>
      <c r="G79" s="21">
        <f>IF(N78&lt;&gt;"",N78,0)+IF(P81&lt;&gt;"",P81,0)+IF(P82&lt;&gt;"",P82,0)</f>
        <v>0</v>
      </c>
      <c r="H79" s="21">
        <f>F79-G79</f>
        <v>0</v>
      </c>
      <c r="I79" s="13">
        <f>C79*3+D79</f>
        <v>0</v>
      </c>
      <c r="J79" s="22">
        <f>RANK(K79,K78:K81)</f>
        <v>1</v>
      </c>
      <c r="K79" s="15">
        <f>I79*10000+H79*100+F79</f>
        <v>0</v>
      </c>
      <c r="M79" s="16" t="str">
        <f>A78</f>
        <v>France</v>
      </c>
      <c r="N79" s="17"/>
      <c r="O79" s="18" t="s">
        <v>124</v>
      </c>
      <c r="P79" s="17"/>
      <c r="Q79" s="19" t="str">
        <f>A80</f>
        <v>Norway</v>
      </c>
    </row>
    <row r="80" spans="1:17" ht="15" customHeight="1" x14ac:dyDescent="0.2">
      <c r="A80" s="11" t="s">
        <v>76</v>
      </c>
      <c r="B80" s="12">
        <f>C80+D80+E80</f>
        <v>0</v>
      </c>
      <c r="C80" s="12">
        <f>IF(AND(P79&lt;&gt;"",N79&lt;&gt;"",P79&gt;N79),1,0)+IF(AND(P81&lt;&gt;"",N81&lt;&gt;"",P81&gt;N81),1,0)+IF(AND(N83&lt;&gt;"",P83&lt;&gt;"",N83&gt;P83),1,0)</f>
        <v>0</v>
      </c>
      <c r="D80" s="12">
        <f>IF(AND(P79&lt;&gt;"",N79&lt;&gt;"",P79=N79),1,0)+IF(AND(P81&lt;&gt;"",N81&lt;&gt;"",P81=N81),1,0)+IF(AND(N83&lt;&gt;"",P83&lt;&gt;"",N83=P83),1,0)</f>
        <v>0</v>
      </c>
      <c r="E80" s="12">
        <f>IF(AND(P79&lt;&gt;"",N79&lt;&gt;"",P79&lt;N79),1,0)+IF(AND(P81&lt;&gt;"",N81&lt;&gt;"",P81&lt;N81),1,0)+IF(AND(N83&lt;&gt;"",P83&lt;&gt;"",N83&lt;P83),1,0)</f>
        <v>0</v>
      </c>
      <c r="F80" s="12">
        <f>IF(P79&lt;&gt;"",P79,0)+IF(P81&lt;&gt;"",P81,0)+IF(N83&lt;&gt;"",N83,0)</f>
        <v>0</v>
      </c>
      <c r="G80" s="12">
        <f>IF(N79&lt;&gt;"",N79,0)+IF(N81&lt;&gt;"",N81,0)+IF(P83&lt;&gt;"",P83,0)</f>
        <v>0</v>
      </c>
      <c r="H80" s="12">
        <f>F80-G80</f>
        <v>0</v>
      </c>
      <c r="I80" s="13">
        <f>C80*3+D80</f>
        <v>0</v>
      </c>
      <c r="J80" s="14">
        <f>RANK(K80,K78:K81)</f>
        <v>1</v>
      </c>
      <c r="K80" s="15">
        <f>I80*10000+H80*100+F80</f>
        <v>0</v>
      </c>
      <c r="M80" s="16" t="str">
        <f>A78</f>
        <v>France</v>
      </c>
      <c r="N80" s="17"/>
      <c r="O80" s="18" t="s">
        <v>124</v>
      </c>
      <c r="P80" s="17"/>
      <c r="Q80" s="19" t="str">
        <f>A81</f>
        <v>Iraq</v>
      </c>
    </row>
    <row r="81" spans="1:17" ht="15" customHeight="1" x14ac:dyDescent="0.2">
      <c r="A81" s="20" t="s">
        <v>78</v>
      </c>
      <c r="B81" s="21">
        <f>C81+D81+E81</f>
        <v>0</v>
      </c>
      <c r="C81" s="21">
        <f>IF(AND(P80&lt;&gt;"",N80&lt;&gt;"",P80&gt;N80),1,0)+IF(AND(P82&lt;&gt;"",N82&lt;&gt;"",P82&gt;N82),1,0)+IF(AND(P83&lt;&gt;"",N83&lt;&gt;"",P83&gt;N83),1,0)</f>
        <v>0</v>
      </c>
      <c r="D81" s="21">
        <f>IF(AND(P80&lt;&gt;"",N80&lt;&gt;"",P80=N80),1,0)+IF(AND(P82&lt;&gt;"",N82&lt;&gt;"",P82=N82),1,0)+IF(AND(P83&lt;&gt;"",N83&lt;&gt;"",P83=N83),1,0)</f>
        <v>0</v>
      </c>
      <c r="E81" s="21">
        <f>IF(AND(P80&lt;&gt;"",N80&lt;&gt;"",P80&lt;N80),1,0)+IF(AND(P82&lt;&gt;"",N82&lt;&gt;"",P82&lt;N82),1,0)+IF(AND(P83&lt;&gt;"",N83&lt;&gt;"",P83&lt;N83),1,0)</f>
        <v>0</v>
      </c>
      <c r="F81" s="21">
        <f>IF(P80&lt;&gt;"",P80,0)+IF(P82&lt;&gt;"",P82,0)+IF(P83&lt;&gt;"",P83,0)</f>
        <v>0</v>
      </c>
      <c r="G81" s="21">
        <f>IF(N80&lt;&gt;"",N80,0)+IF(N82&lt;&gt;"",N82,0)+IF(N83&lt;&gt;"",N83,0)</f>
        <v>0</v>
      </c>
      <c r="H81" s="21">
        <f>F81-G81</f>
        <v>0</v>
      </c>
      <c r="I81" s="13">
        <f>C81*3+D81</f>
        <v>0</v>
      </c>
      <c r="J81" s="22">
        <f>RANK(K81,K78:K81)</f>
        <v>1</v>
      </c>
      <c r="K81" s="15">
        <f>I81*10000+H81*100+F81</f>
        <v>0</v>
      </c>
      <c r="M81" s="16" t="str">
        <f>A79</f>
        <v>Senegal</v>
      </c>
      <c r="N81" s="17"/>
      <c r="O81" s="18" t="s">
        <v>124</v>
      </c>
      <c r="P81" s="17"/>
      <c r="Q81" s="19" t="str">
        <f>A80</f>
        <v>Norway</v>
      </c>
    </row>
    <row r="82" spans="1:17" ht="15" customHeight="1" x14ac:dyDescent="0.2">
      <c r="M82" s="16" t="str">
        <f>A79</f>
        <v>Senegal</v>
      </c>
      <c r="N82" s="17"/>
      <c r="O82" s="18" t="s">
        <v>124</v>
      </c>
      <c r="P82" s="17"/>
      <c r="Q82" s="19" t="str">
        <f>A81</f>
        <v>Iraq</v>
      </c>
    </row>
    <row r="83" spans="1:17" ht="15" customHeight="1" x14ac:dyDescent="0.2">
      <c r="M83" s="16" t="str">
        <f>A80</f>
        <v>Norway</v>
      </c>
      <c r="N83" s="17"/>
      <c r="O83" s="18" t="s">
        <v>124</v>
      </c>
      <c r="P83" s="17"/>
      <c r="Q83" s="19" t="str">
        <f>A81</f>
        <v>Iraq</v>
      </c>
    </row>
    <row r="85" spans="1:17" ht="19.5" customHeight="1" x14ac:dyDescent="0.2">
      <c r="A85" s="73" t="s">
        <v>133</v>
      </c>
      <c r="B85" s="65"/>
      <c r="C85" s="65"/>
      <c r="D85" s="65"/>
      <c r="E85" s="65"/>
      <c r="F85" s="65"/>
      <c r="G85" s="65"/>
      <c r="H85" s="65"/>
      <c r="I85" s="65"/>
      <c r="J85" s="65"/>
      <c r="K85" s="65"/>
      <c r="M85" s="74" t="s">
        <v>113</v>
      </c>
      <c r="N85" s="65"/>
      <c r="O85" s="65"/>
      <c r="P85" s="65"/>
      <c r="Q85" s="65"/>
    </row>
    <row r="86" spans="1:17" ht="15" customHeight="1" x14ac:dyDescent="0.2">
      <c r="A86" s="9" t="s">
        <v>21</v>
      </c>
      <c r="B86" s="9" t="s">
        <v>114</v>
      </c>
      <c r="C86" s="9" t="s">
        <v>115</v>
      </c>
      <c r="D86" s="9" t="s">
        <v>62</v>
      </c>
      <c r="E86" s="9" t="s">
        <v>95</v>
      </c>
      <c r="F86" s="9" t="s">
        <v>116</v>
      </c>
      <c r="G86" s="9" t="s">
        <v>117</v>
      </c>
      <c r="H86" s="9" t="s">
        <v>118</v>
      </c>
      <c r="I86" s="9" t="s">
        <v>119</v>
      </c>
      <c r="J86" s="9" t="s">
        <v>120</v>
      </c>
      <c r="K86" s="10" t="s">
        <v>121</v>
      </c>
      <c r="M86" s="9" t="s">
        <v>122</v>
      </c>
      <c r="N86" s="9"/>
      <c r="O86" s="9"/>
      <c r="P86" s="9"/>
      <c r="Q86" s="9" t="s">
        <v>123</v>
      </c>
    </row>
    <row r="87" spans="1:17" ht="15" customHeight="1" x14ac:dyDescent="0.2">
      <c r="A87" s="11" t="s">
        <v>79</v>
      </c>
      <c r="B87" s="12">
        <f>C87+D87+E87</f>
        <v>0</v>
      </c>
      <c r="C87" s="12">
        <f>IF(AND(N87&lt;&gt;"",P87&lt;&gt;"",N87&gt;P87),1,0)+IF(AND(N88&lt;&gt;"",P88&lt;&gt;"",N88&gt;P88),1,0)+IF(AND(N89&lt;&gt;"",P89&lt;&gt;"",N89&gt;P89),1,0)</f>
        <v>0</v>
      </c>
      <c r="D87" s="12">
        <f>IF(AND(N87&lt;&gt;"",P87&lt;&gt;"",N87=P87),1,0)+IF(AND(N88&lt;&gt;"",P88&lt;&gt;"",N88=P88),1,0)+IF(AND(N89&lt;&gt;"",P89&lt;&gt;"",N89=P89),1,0)</f>
        <v>0</v>
      </c>
      <c r="E87" s="12">
        <f>IF(AND(N87&lt;&gt;"",P87&lt;&gt;"",N87&lt;P87),1,0)+IF(AND(N88&lt;&gt;"",P88&lt;&gt;"",N88&lt;P88),1,0)+IF(AND(N89&lt;&gt;"",P89&lt;&gt;"",N89&lt;P89),1,0)</f>
        <v>0</v>
      </c>
      <c r="F87" s="12">
        <f>IF(N87&lt;&gt;"",N87,0)+IF(N88&lt;&gt;"",N88,0)+IF(N89&lt;&gt;"",N89,0)</f>
        <v>0</v>
      </c>
      <c r="G87" s="12">
        <f>IF(P87&lt;&gt;"",P87,0)+IF(P88&lt;&gt;"",P88,0)+IF(P89&lt;&gt;"",P89,0)</f>
        <v>0</v>
      </c>
      <c r="H87" s="12">
        <f>F87-G87</f>
        <v>0</v>
      </c>
      <c r="I87" s="13">
        <f>C87*3+D87</f>
        <v>0</v>
      </c>
      <c r="J87" s="14">
        <f>RANK(K87,K87:K90)</f>
        <v>1</v>
      </c>
      <c r="K87" s="15">
        <f>I87*10000+H87*100+F87</f>
        <v>0</v>
      </c>
      <c r="M87" s="16" t="str">
        <f>A87</f>
        <v>Argentina</v>
      </c>
      <c r="N87" s="17"/>
      <c r="O87" s="18" t="s">
        <v>124</v>
      </c>
      <c r="P87" s="17"/>
      <c r="Q87" s="19" t="str">
        <f>A88</f>
        <v>Algeria</v>
      </c>
    </row>
    <row r="88" spans="1:17" ht="15" customHeight="1" x14ac:dyDescent="0.2">
      <c r="A88" s="20" t="s">
        <v>80</v>
      </c>
      <c r="B88" s="21">
        <f>C88+D88+E88</f>
        <v>0</v>
      </c>
      <c r="C88" s="21">
        <f>IF(AND(P87&lt;&gt;"",N87&lt;&gt;"",P87&gt;N87),1,0)+IF(AND(N90&lt;&gt;"",P90&lt;&gt;"",N90&gt;P90),1,0)+IF(AND(N91&lt;&gt;"",P91&lt;&gt;"",N91&gt;P91),1,0)</f>
        <v>0</v>
      </c>
      <c r="D88" s="21">
        <f>IF(AND(P87&lt;&gt;"",N87&lt;&gt;"",P87=N87),1,0)+IF(AND(N90&lt;&gt;"",P90&lt;&gt;"",N90=P90),1,0)+IF(AND(N91&lt;&gt;"",P91&lt;&gt;"",N91=P91),1,0)</f>
        <v>0</v>
      </c>
      <c r="E88" s="21">
        <f>IF(AND(P87&lt;&gt;"",N87&lt;&gt;"",P87&lt;N87),1,0)+IF(AND(N90&lt;&gt;"",P90&lt;&gt;"",N90&lt;P90),1,0)+IF(AND(N91&lt;&gt;"",P91&lt;&gt;"",N91&lt;P91),1,0)</f>
        <v>0</v>
      </c>
      <c r="F88" s="21">
        <f>IF(P87&lt;&gt;"",P87,0)+IF(N90&lt;&gt;"",N90,0)+IF(N91&lt;&gt;"",N91,0)</f>
        <v>0</v>
      </c>
      <c r="G88" s="21">
        <f>IF(N87&lt;&gt;"",N87,0)+IF(P90&lt;&gt;"",P90,0)+IF(P91&lt;&gt;"",P91,0)</f>
        <v>0</v>
      </c>
      <c r="H88" s="21">
        <f>F88-G88</f>
        <v>0</v>
      </c>
      <c r="I88" s="13">
        <f>C88*3+D88</f>
        <v>0</v>
      </c>
      <c r="J88" s="22">
        <f>RANK(K88,K87:K90)</f>
        <v>1</v>
      </c>
      <c r="K88" s="15">
        <f>I88*10000+H88*100+F88</f>
        <v>0</v>
      </c>
      <c r="M88" s="16" t="str">
        <f>A87</f>
        <v>Argentina</v>
      </c>
      <c r="N88" s="17"/>
      <c r="O88" s="18" t="s">
        <v>124</v>
      </c>
      <c r="P88" s="17"/>
      <c r="Q88" s="19" t="str">
        <f>A89</f>
        <v>Austria</v>
      </c>
    </row>
    <row r="89" spans="1:17" ht="15" customHeight="1" x14ac:dyDescent="0.2">
      <c r="A89" s="11" t="s">
        <v>81</v>
      </c>
      <c r="B89" s="12">
        <f>C89+D89+E89</f>
        <v>0</v>
      </c>
      <c r="C89" s="12">
        <f>IF(AND(P88&lt;&gt;"",N88&lt;&gt;"",P88&gt;N88),1,0)+IF(AND(P90&lt;&gt;"",N90&lt;&gt;"",P90&gt;N90),1,0)+IF(AND(N92&lt;&gt;"",P92&lt;&gt;"",N92&gt;P92),1,0)</f>
        <v>0</v>
      </c>
      <c r="D89" s="12">
        <f>IF(AND(P88&lt;&gt;"",N88&lt;&gt;"",P88=N88),1,0)+IF(AND(P90&lt;&gt;"",N90&lt;&gt;"",P90=N90),1,0)+IF(AND(N92&lt;&gt;"",P92&lt;&gt;"",N92=P92),1,0)</f>
        <v>0</v>
      </c>
      <c r="E89" s="12">
        <f>IF(AND(P88&lt;&gt;"",N88&lt;&gt;"",P88&lt;N88),1,0)+IF(AND(P90&lt;&gt;"",N90&lt;&gt;"",P90&lt;N90),1,0)+IF(AND(N92&lt;&gt;"",P92&lt;&gt;"",N92&lt;P92),1,0)</f>
        <v>0</v>
      </c>
      <c r="F89" s="12">
        <f>IF(P88&lt;&gt;"",P88,0)+IF(P90&lt;&gt;"",P90,0)+IF(N92&lt;&gt;"",N92,0)</f>
        <v>0</v>
      </c>
      <c r="G89" s="12">
        <f>IF(N88&lt;&gt;"",N88,0)+IF(N90&lt;&gt;"",N90,0)+IF(P92&lt;&gt;"",P92,0)</f>
        <v>0</v>
      </c>
      <c r="H89" s="12">
        <f>F89-G89</f>
        <v>0</v>
      </c>
      <c r="I89" s="13">
        <f>C89*3+D89</f>
        <v>0</v>
      </c>
      <c r="J89" s="14">
        <f>RANK(K89,K87:K90)</f>
        <v>1</v>
      </c>
      <c r="K89" s="15">
        <f>I89*10000+H89*100+F89</f>
        <v>0</v>
      </c>
      <c r="M89" s="16" t="str">
        <f>A87</f>
        <v>Argentina</v>
      </c>
      <c r="N89" s="17"/>
      <c r="O89" s="18" t="s">
        <v>124</v>
      </c>
      <c r="P89" s="17"/>
      <c r="Q89" s="19" t="str">
        <f>A90</f>
        <v>Jordan</v>
      </c>
    </row>
    <row r="90" spans="1:17" ht="15" customHeight="1" x14ac:dyDescent="0.2">
      <c r="A90" s="20" t="s">
        <v>83</v>
      </c>
      <c r="B90" s="21">
        <f>C90+D90+E90</f>
        <v>0</v>
      </c>
      <c r="C90" s="21">
        <f>IF(AND(P89&lt;&gt;"",N89&lt;&gt;"",P89&gt;N89),1,0)+IF(AND(P91&lt;&gt;"",N91&lt;&gt;"",P91&gt;N91),1,0)+IF(AND(P92&lt;&gt;"",N92&lt;&gt;"",P92&gt;N92),1,0)</f>
        <v>0</v>
      </c>
      <c r="D90" s="21">
        <f>IF(AND(P89&lt;&gt;"",N89&lt;&gt;"",P89=N89),1,0)+IF(AND(P91&lt;&gt;"",N91&lt;&gt;"",P91=N91),1,0)+IF(AND(P92&lt;&gt;"",N92&lt;&gt;"",P92=N92),1,0)</f>
        <v>0</v>
      </c>
      <c r="E90" s="21">
        <f>IF(AND(P89&lt;&gt;"",N89&lt;&gt;"",P89&lt;N89),1,0)+IF(AND(P91&lt;&gt;"",N91&lt;&gt;"",P91&lt;N91),1,0)+IF(AND(P92&lt;&gt;"",N92&lt;&gt;"",P92&lt;N92),1,0)</f>
        <v>0</v>
      </c>
      <c r="F90" s="21">
        <f>IF(P89&lt;&gt;"",P89,0)+IF(P91&lt;&gt;"",P91,0)+IF(P92&lt;&gt;"",P92,0)</f>
        <v>0</v>
      </c>
      <c r="G90" s="21">
        <f>IF(N89&lt;&gt;"",N89,0)+IF(N91&lt;&gt;"",N91,0)+IF(N92&lt;&gt;"",N92,0)</f>
        <v>0</v>
      </c>
      <c r="H90" s="21">
        <f>F90-G90</f>
        <v>0</v>
      </c>
      <c r="I90" s="13">
        <f>C90*3+D90</f>
        <v>0</v>
      </c>
      <c r="J90" s="22">
        <f>RANK(K90,K87:K90)</f>
        <v>1</v>
      </c>
      <c r="K90" s="15">
        <f>I90*10000+H90*100+F90</f>
        <v>0</v>
      </c>
      <c r="M90" s="16" t="str">
        <f>A88</f>
        <v>Algeria</v>
      </c>
      <c r="N90" s="17"/>
      <c r="O90" s="18" t="s">
        <v>124</v>
      </c>
      <c r="P90" s="17"/>
      <c r="Q90" s="19" t="str">
        <f>A89</f>
        <v>Austria</v>
      </c>
    </row>
    <row r="91" spans="1:17" ht="15" customHeight="1" x14ac:dyDescent="0.2">
      <c r="M91" s="16" t="str">
        <f>A88</f>
        <v>Algeria</v>
      </c>
      <c r="N91" s="17"/>
      <c r="O91" s="18" t="s">
        <v>124</v>
      </c>
      <c r="P91" s="17"/>
      <c r="Q91" s="19" t="str">
        <f>A90</f>
        <v>Jordan</v>
      </c>
    </row>
    <row r="92" spans="1:17" ht="15" customHeight="1" x14ac:dyDescent="0.2">
      <c r="M92" s="16" t="str">
        <f>A89</f>
        <v>Austria</v>
      </c>
      <c r="N92" s="17"/>
      <c r="O92" s="18" t="s">
        <v>124</v>
      </c>
      <c r="P92" s="17"/>
      <c r="Q92" s="19" t="str">
        <f>A90</f>
        <v>Jordan</v>
      </c>
    </row>
    <row r="94" spans="1:17" ht="19.5" customHeight="1" x14ac:dyDescent="0.2">
      <c r="A94" s="73" t="s">
        <v>134</v>
      </c>
      <c r="B94" s="65"/>
      <c r="C94" s="65"/>
      <c r="D94" s="65"/>
      <c r="E94" s="65"/>
      <c r="F94" s="65"/>
      <c r="G94" s="65"/>
      <c r="H94" s="65"/>
      <c r="I94" s="65"/>
      <c r="J94" s="65"/>
      <c r="K94" s="65"/>
      <c r="M94" s="74" t="s">
        <v>113</v>
      </c>
      <c r="N94" s="65"/>
      <c r="O94" s="65"/>
      <c r="P94" s="65"/>
      <c r="Q94" s="65"/>
    </row>
    <row r="95" spans="1:17" ht="15" customHeight="1" x14ac:dyDescent="0.2">
      <c r="A95" s="9" t="s">
        <v>21</v>
      </c>
      <c r="B95" s="9" t="s">
        <v>114</v>
      </c>
      <c r="C95" s="9" t="s">
        <v>115</v>
      </c>
      <c r="D95" s="9" t="s">
        <v>62</v>
      </c>
      <c r="E95" s="9" t="s">
        <v>95</v>
      </c>
      <c r="F95" s="9" t="s">
        <v>116</v>
      </c>
      <c r="G95" s="9" t="s">
        <v>117</v>
      </c>
      <c r="H95" s="9" t="s">
        <v>118</v>
      </c>
      <c r="I95" s="9" t="s">
        <v>119</v>
      </c>
      <c r="J95" s="9" t="s">
        <v>120</v>
      </c>
      <c r="K95" s="10" t="s">
        <v>121</v>
      </c>
      <c r="M95" s="9" t="s">
        <v>122</v>
      </c>
      <c r="N95" s="9"/>
      <c r="O95" s="9"/>
      <c r="P95" s="9"/>
      <c r="Q95" s="9" t="s">
        <v>123</v>
      </c>
    </row>
    <row r="96" spans="1:17" ht="15" customHeight="1" x14ac:dyDescent="0.2">
      <c r="A96" s="11" t="s">
        <v>84</v>
      </c>
      <c r="B96" s="12">
        <f>C96+D96+E96</f>
        <v>0</v>
      </c>
      <c r="C96" s="12">
        <f>IF(AND(N96&lt;&gt;"",P96&lt;&gt;"",N96&gt;P96),1,0)+IF(AND(N97&lt;&gt;"",P97&lt;&gt;"",N97&gt;P97),1,0)+IF(AND(N98&lt;&gt;"",P98&lt;&gt;"",N98&gt;P98),1,0)</f>
        <v>0</v>
      </c>
      <c r="D96" s="12">
        <f>IF(AND(N96&lt;&gt;"",P96&lt;&gt;"",N96=P96),1,0)+IF(AND(N97&lt;&gt;"",P97&lt;&gt;"",N97=P97),1,0)+IF(AND(N98&lt;&gt;"",P98&lt;&gt;"",N98=P98),1,0)</f>
        <v>0</v>
      </c>
      <c r="E96" s="12">
        <f>IF(AND(N96&lt;&gt;"",P96&lt;&gt;"",N96&lt;P96),1,0)+IF(AND(N97&lt;&gt;"",P97&lt;&gt;"",N97&lt;P97),1,0)+IF(AND(N98&lt;&gt;"",P98&lt;&gt;"",N98&lt;P98),1,0)</f>
        <v>0</v>
      </c>
      <c r="F96" s="12">
        <f>IF(N96&lt;&gt;"",N96,0)+IF(N97&lt;&gt;"",N97,0)+IF(N98&lt;&gt;"",N98,0)</f>
        <v>0</v>
      </c>
      <c r="G96" s="12">
        <f>IF(P96&lt;&gt;"",P96,0)+IF(P97&lt;&gt;"",P97,0)+IF(P98&lt;&gt;"",P98,0)</f>
        <v>0</v>
      </c>
      <c r="H96" s="12">
        <f>F96-G96</f>
        <v>0</v>
      </c>
      <c r="I96" s="13">
        <f>C96*3+D96</f>
        <v>0</v>
      </c>
      <c r="J96" s="14">
        <f>RANK(K96,K96:K99)</f>
        <v>1</v>
      </c>
      <c r="K96" s="15">
        <f>I96*10000+H96*100+F96</f>
        <v>0</v>
      </c>
      <c r="M96" s="16" t="str">
        <f>A96</f>
        <v>Portugal</v>
      </c>
      <c r="N96" s="17"/>
      <c r="O96" s="18" t="s">
        <v>124</v>
      </c>
      <c r="P96" s="17"/>
      <c r="Q96" s="19" t="str">
        <f>A97</f>
        <v>Colombia</v>
      </c>
    </row>
    <row r="97" spans="1:17" ht="15" customHeight="1" x14ac:dyDescent="0.2">
      <c r="A97" s="20" t="s">
        <v>85</v>
      </c>
      <c r="B97" s="21">
        <f>C97+D97+E97</f>
        <v>0</v>
      </c>
      <c r="C97" s="21">
        <f>IF(AND(P96&lt;&gt;"",N96&lt;&gt;"",P96&gt;N96),1,0)+IF(AND(N99&lt;&gt;"",P99&lt;&gt;"",N99&gt;P99),1,0)+IF(AND(N100&lt;&gt;"",P100&lt;&gt;"",N100&gt;P100),1,0)</f>
        <v>0</v>
      </c>
      <c r="D97" s="21">
        <f>IF(AND(P96&lt;&gt;"",N96&lt;&gt;"",P96=N96),1,0)+IF(AND(N99&lt;&gt;"",P99&lt;&gt;"",N99=P99),1,0)+IF(AND(N100&lt;&gt;"",P100&lt;&gt;"",N100=P100),1,0)</f>
        <v>0</v>
      </c>
      <c r="E97" s="21">
        <f>IF(AND(P96&lt;&gt;"",N96&lt;&gt;"",P96&lt;N96),1,0)+IF(AND(N99&lt;&gt;"",P99&lt;&gt;"",N99&lt;P99),1,0)+IF(AND(N100&lt;&gt;"",P100&lt;&gt;"",N100&lt;P100),1,0)</f>
        <v>0</v>
      </c>
      <c r="F97" s="21">
        <f>IF(P96&lt;&gt;"",P96,0)+IF(N99&lt;&gt;"",N99,0)+IF(N100&lt;&gt;"",N100,0)</f>
        <v>0</v>
      </c>
      <c r="G97" s="21">
        <f>IF(N96&lt;&gt;"",N96,0)+IF(P99&lt;&gt;"",P99,0)+IF(P100&lt;&gt;"",P100,0)</f>
        <v>0</v>
      </c>
      <c r="H97" s="21">
        <f>F97-G97</f>
        <v>0</v>
      </c>
      <c r="I97" s="13">
        <f>C97*3+D97</f>
        <v>0</v>
      </c>
      <c r="J97" s="22">
        <f>RANK(K97,K96:K99)</f>
        <v>1</v>
      </c>
      <c r="K97" s="15">
        <f>I97*10000+H97*100+F97</f>
        <v>0</v>
      </c>
      <c r="M97" s="16" t="str">
        <f>A96</f>
        <v>Portugal</v>
      </c>
      <c r="N97" s="17"/>
      <c r="O97" s="18" t="s">
        <v>124</v>
      </c>
      <c r="P97" s="17"/>
      <c r="Q97" s="19" t="str">
        <f>A98</f>
        <v>Uzbekistan</v>
      </c>
    </row>
    <row r="98" spans="1:17" ht="15" customHeight="1" x14ac:dyDescent="0.2">
      <c r="A98" s="11" t="s">
        <v>86</v>
      </c>
      <c r="B98" s="12">
        <f>C98+D98+E98</f>
        <v>0</v>
      </c>
      <c r="C98" s="12">
        <f>IF(AND(P97&lt;&gt;"",N97&lt;&gt;"",P97&gt;N97),1,0)+IF(AND(P99&lt;&gt;"",N99&lt;&gt;"",P99&gt;N99),1,0)+IF(AND(N101&lt;&gt;"",P101&lt;&gt;"",N101&gt;P101),1,0)</f>
        <v>0</v>
      </c>
      <c r="D98" s="12">
        <f>IF(AND(P97&lt;&gt;"",N97&lt;&gt;"",P97=N97),1,0)+IF(AND(P99&lt;&gt;"",N99&lt;&gt;"",P99=N99),1,0)+IF(AND(N101&lt;&gt;"",P101&lt;&gt;"",N101=P101),1,0)</f>
        <v>0</v>
      </c>
      <c r="E98" s="12">
        <f>IF(AND(P97&lt;&gt;"",N97&lt;&gt;"",P97&lt;N97),1,0)+IF(AND(P99&lt;&gt;"",N99&lt;&gt;"",P99&lt;N99),1,0)+IF(AND(N101&lt;&gt;"",P101&lt;&gt;"",N101&lt;P101),1,0)</f>
        <v>0</v>
      </c>
      <c r="F98" s="12">
        <f>IF(P97&lt;&gt;"",P97,0)+IF(P99&lt;&gt;"",P99,0)+IF(N101&lt;&gt;"",N101,0)</f>
        <v>0</v>
      </c>
      <c r="G98" s="12">
        <f>IF(N97&lt;&gt;"",N97,0)+IF(N99&lt;&gt;"",N99,0)+IF(P101&lt;&gt;"",P101,0)</f>
        <v>0</v>
      </c>
      <c r="H98" s="12">
        <f>F98-G98</f>
        <v>0</v>
      </c>
      <c r="I98" s="13">
        <f>C98*3+D98</f>
        <v>0</v>
      </c>
      <c r="J98" s="14">
        <f>RANK(K98,K96:K99)</f>
        <v>1</v>
      </c>
      <c r="K98" s="15">
        <f>I98*10000+H98*100+F98</f>
        <v>0</v>
      </c>
      <c r="M98" s="16" t="str">
        <f>A96</f>
        <v>Portugal</v>
      </c>
      <c r="N98" s="17"/>
      <c r="O98" s="18" t="s">
        <v>124</v>
      </c>
      <c r="P98" s="17"/>
      <c r="Q98" s="19" t="str">
        <f>A99</f>
        <v>DR Congo</v>
      </c>
    </row>
    <row r="99" spans="1:17" ht="15" customHeight="1" x14ac:dyDescent="0.2">
      <c r="A99" s="20" t="s">
        <v>88</v>
      </c>
      <c r="B99" s="21">
        <f>C99+D99+E99</f>
        <v>0</v>
      </c>
      <c r="C99" s="21">
        <f>IF(AND(P98&lt;&gt;"",N98&lt;&gt;"",P98&gt;N98),1,0)+IF(AND(P100&lt;&gt;"",N100&lt;&gt;"",P100&gt;N100),1,0)+IF(AND(P101&lt;&gt;"",N101&lt;&gt;"",P101&gt;N101),1,0)</f>
        <v>0</v>
      </c>
      <c r="D99" s="21">
        <f>IF(AND(P98&lt;&gt;"",N98&lt;&gt;"",P98=N98),1,0)+IF(AND(P100&lt;&gt;"",N100&lt;&gt;"",P100=N100),1,0)+IF(AND(P101&lt;&gt;"",N101&lt;&gt;"",P101=N101),1,0)</f>
        <v>0</v>
      </c>
      <c r="E99" s="21">
        <f>IF(AND(P98&lt;&gt;"",N98&lt;&gt;"",P98&lt;N98),1,0)+IF(AND(P100&lt;&gt;"",N100&lt;&gt;"",P100&lt;N100),1,0)+IF(AND(P101&lt;&gt;"",N101&lt;&gt;"",P101&lt;N101),1,0)</f>
        <v>0</v>
      </c>
      <c r="F99" s="21">
        <f>IF(P98&lt;&gt;"",P98,0)+IF(P100&lt;&gt;"",P100,0)+IF(P101&lt;&gt;"",P101,0)</f>
        <v>0</v>
      </c>
      <c r="G99" s="21">
        <f>IF(N98&lt;&gt;"",N98,0)+IF(N100&lt;&gt;"",N100,0)+IF(N101&lt;&gt;"",N101,0)</f>
        <v>0</v>
      </c>
      <c r="H99" s="21">
        <f>F99-G99</f>
        <v>0</v>
      </c>
      <c r="I99" s="13">
        <f>C99*3+D99</f>
        <v>0</v>
      </c>
      <c r="J99" s="22">
        <f>RANK(K99,K96:K99)</f>
        <v>1</v>
      </c>
      <c r="K99" s="15">
        <f>I99*10000+H99*100+F99</f>
        <v>0</v>
      </c>
      <c r="M99" s="16" t="str">
        <f>A97</f>
        <v>Colombia</v>
      </c>
      <c r="N99" s="17"/>
      <c r="O99" s="18" t="s">
        <v>124</v>
      </c>
      <c r="P99" s="17"/>
      <c r="Q99" s="19" t="str">
        <f>A98</f>
        <v>Uzbekistan</v>
      </c>
    </row>
    <row r="100" spans="1:17" ht="15" customHeight="1" x14ac:dyDescent="0.2">
      <c r="M100" s="16" t="str">
        <f>A97</f>
        <v>Colombia</v>
      </c>
      <c r="N100" s="17"/>
      <c r="O100" s="18" t="s">
        <v>124</v>
      </c>
      <c r="P100" s="17"/>
      <c r="Q100" s="19" t="str">
        <f>A99</f>
        <v>DR Congo</v>
      </c>
    </row>
    <row r="101" spans="1:17" ht="15" customHeight="1" x14ac:dyDescent="0.2">
      <c r="M101" s="16" t="str">
        <f>A98</f>
        <v>Uzbekistan</v>
      </c>
      <c r="N101" s="17"/>
      <c r="O101" s="18" t="s">
        <v>124</v>
      </c>
      <c r="P101" s="17"/>
      <c r="Q101" s="19" t="str">
        <f>A99</f>
        <v>DR Congo</v>
      </c>
    </row>
    <row r="103" spans="1:17" ht="19.5" customHeight="1" x14ac:dyDescent="0.2">
      <c r="A103" s="73" t="s">
        <v>135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M103" s="74" t="s">
        <v>113</v>
      </c>
      <c r="N103" s="65"/>
      <c r="O103" s="65"/>
      <c r="P103" s="65"/>
      <c r="Q103" s="65"/>
    </row>
    <row r="104" spans="1:17" ht="15" customHeight="1" x14ac:dyDescent="0.2">
      <c r="A104" s="9" t="s">
        <v>21</v>
      </c>
      <c r="B104" s="9" t="s">
        <v>114</v>
      </c>
      <c r="C104" s="9" t="s">
        <v>115</v>
      </c>
      <c r="D104" s="9" t="s">
        <v>62</v>
      </c>
      <c r="E104" s="9" t="s">
        <v>95</v>
      </c>
      <c r="F104" s="9" t="s">
        <v>116</v>
      </c>
      <c r="G104" s="9" t="s">
        <v>117</v>
      </c>
      <c r="H104" s="9" t="s">
        <v>118</v>
      </c>
      <c r="I104" s="9" t="s">
        <v>119</v>
      </c>
      <c r="J104" s="9" t="s">
        <v>120</v>
      </c>
      <c r="K104" s="10" t="s">
        <v>121</v>
      </c>
      <c r="M104" s="9" t="s">
        <v>122</v>
      </c>
      <c r="N104" s="9"/>
      <c r="O104" s="9"/>
      <c r="P104" s="9"/>
      <c r="Q104" s="9" t="s">
        <v>123</v>
      </c>
    </row>
    <row r="105" spans="1:17" ht="15" customHeight="1" x14ac:dyDescent="0.2">
      <c r="A105" s="11" t="s">
        <v>89</v>
      </c>
      <c r="B105" s="12">
        <f>C105+D105+E105</f>
        <v>0</v>
      </c>
      <c r="C105" s="12">
        <f>IF(AND(N105&lt;&gt;"",P105&lt;&gt;"",N105&gt;P105),1,0)+IF(AND(N106&lt;&gt;"",P106&lt;&gt;"",N106&gt;P106),1,0)+IF(AND(N107&lt;&gt;"",P107&lt;&gt;"",N107&gt;P107),1,0)</f>
        <v>0</v>
      </c>
      <c r="D105" s="12">
        <f>IF(AND(N105&lt;&gt;"",P105&lt;&gt;"",N105=P105),1,0)+IF(AND(N106&lt;&gt;"",P106&lt;&gt;"",N106=P106),1,0)+IF(AND(N107&lt;&gt;"",P107&lt;&gt;"",N107=P107),1,0)</f>
        <v>0</v>
      </c>
      <c r="E105" s="12">
        <f>IF(AND(N105&lt;&gt;"",P105&lt;&gt;"",N105&lt;P105),1,0)+IF(AND(N106&lt;&gt;"",P106&lt;&gt;"",N106&lt;P106),1,0)+IF(AND(N107&lt;&gt;"",P107&lt;&gt;"",N107&lt;P107),1,0)</f>
        <v>0</v>
      </c>
      <c r="F105" s="12">
        <f>IF(N105&lt;&gt;"",N105,0)+IF(N106&lt;&gt;"",N106,0)+IF(N107&lt;&gt;"",N107,0)</f>
        <v>0</v>
      </c>
      <c r="G105" s="12">
        <f>IF(P105&lt;&gt;"",P105,0)+IF(P106&lt;&gt;"",P106,0)+IF(P107&lt;&gt;"",P107,0)</f>
        <v>0</v>
      </c>
      <c r="H105" s="12">
        <f>F105-G105</f>
        <v>0</v>
      </c>
      <c r="I105" s="13">
        <f>C105*3+D105</f>
        <v>0</v>
      </c>
      <c r="J105" s="14">
        <f>RANK(K105,K105:K108)</f>
        <v>1</v>
      </c>
      <c r="K105" s="15">
        <f>I105*10000+H105*100+F105</f>
        <v>0</v>
      </c>
      <c r="M105" s="16" t="str">
        <f>A105</f>
        <v>England</v>
      </c>
      <c r="N105" s="17"/>
      <c r="O105" s="18" t="s">
        <v>124</v>
      </c>
      <c r="P105" s="17"/>
      <c r="Q105" s="19" t="str">
        <f>A106</f>
        <v>Croatia</v>
      </c>
    </row>
    <row r="106" spans="1:17" ht="15" customHeight="1" x14ac:dyDescent="0.2">
      <c r="A106" s="20" t="s">
        <v>90</v>
      </c>
      <c r="B106" s="21">
        <f>C106+D106+E106</f>
        <v>0</v>
      </c>
      <c r="C106" s="21">
        <f>IF(AND(P105&lt;&gt;"",N105&lt;&gt;"",P105&gt;N105),1,0)+IF(AND(N108&lt;&gt;"",P108&lt;&gt;"",N108&gt;P108),1,0)+IF(AND(N109&lt;&gt;"",P109&lt;&gt;"",N109&gt;P109),1,0)</f>
        <v>0</v>
      </c>
      <c r="D106" s="21">
        <f>IF(AND(P105&lt;&gt;"",N105&lt;&gt;"",P105=N105),1,0)+IF(AND(N108&lt;&gt;"",P108&lt;&gt;"",N108=P108),1,0)+IF(AND(N109&lt;&gt;"",P109&lt;&gt;"",N109=P109),1,0)</f>
        <v>0</v>
      </c>
      <c r="E106" s="21">
        <f>IF(AND(P105&lt;&gt;"",N105&lt;&gt;"",P105&lt;N105),1,0)+IF(AND(N108&lt;&gt;"",P108&lt;&gt;"",N108&lt;P108),1,0)+IF(AND(N109&lt;&gt;"",P109&lt;&gt;"",N109&lt;P109),1,0)</f>
        <v>0</v>
      </c>
      <c r="F106" s="21">
        <f>IF(P105&lt;&gt;"",P105,0)+IF(N108&lt;&gt;"",N108,0)+IF(N109&lt;&gt;"",N109,0)</f>
        <v>0</v>
      </c>
      <c r="G106" s="21">
        <f>IF(N105&lt;&gt;"",N105,0)+IF(P108&lt;&gt;"",P108,0)+IF(P109&lt;&gt;"",P109,0)</f>
        <v>0</v>
      </c>
      <c r="H106" s="21">
        <f>F106-G106</f>
        <v>0</v>
      </c>
      <c r="I106" s="13">
        <f>C106*3+D106</f>
        <v>0</v>
      </c>
      <c r="J106" s="22">
        <f>RANK(K106,K105:K108)</f>
        <v>1</v>
      </c>
      <c r="K106" s="15">
        <f>I106*10000+H106*100+F106</f>
        <v>0</v>
      </c>
      <c r="M106" s="16" t="str">
        <f>A105</f>
        <v>England</v>
      </c>
      <c r="N106" s="17"/>
      <c r="O106" s="18" t="s">
        <v>124</v>
      </c>
      <c r="P106" s="17"/>
      <c r="Q106" s="19" t="str">
        <f>A107</f>
        <v>Ghana</v>
      </c>
    </row>
    <row r="107" spans="1:17" ht="15" customHeight="1" x14ac:dyDescent="0.2">
      <c r="A107" s="11" t="s">
        <v>91</v>
      </c>
      <c r="B107" s="12">
        <f>C107+D107+E107</f>
        <v>0</v>
      </c>
      <c r="C107" s="12">
        <f>IF(AND(P106&lt;&gt;"",N106&lt;&gt;"",P106&gt;N106),1,0)+IF(AND(P108&lt;&gt;"",N108&lt;&gt;"",P108&gt;N108),1,0)+IF(AND(N110&lt;&gt;"",P110&lt;&gt;"",N110&gt;P110),1,0)</f>
        <v>0</v>
      </c>
      <c r="D107" s="12">
        <f>IF(AND(P106&lt;&gt;"",N106&lt;&gt;"",P106=N106),1,0)+IF(AND(P108&lt;&gt;"",N108&lt;&gt;"",P108=N108),1,0)+IF(AND(N110&lt;&gt;"",P110&lt;&gt;"",N110=P110),1,0)</f>
        <v>0</v>
      </c>
      <c r="E107" s="12">
        <f>IF(AND(P106&lt;&gt;"",N106&lt;&gt;"",P106&lt;N106),1,0)+IF(AND(P108&lt;&gt;"",N108&lt;&gt;"",P108&lt;N108),1,0)+IF(AND(N110&lt;&gt;"",P110&lt;&gt;"",N110&lt;P110),1,0)</f>
        <v>0</v>
      </c>
      <c r="F107" s="12">
        <f>IF(P106&lt;&gt;"",P106,0)+IF(P108&lt;&gt;"",P108,0)+IF(N110&lt;&gt;"",N110,0)</f>
        <v>0</v>
      </c>
      <c r="G107" s="12">
        <f>IF(N106&lt;&gt;"",N106,0)+IF(N108&lt;&gt;"",N108,0)+IF(P110&lt;&gt;"",P110,0)</f>
        <v>0</v>
      </c>
      <c r="H107" s="12">
        <f>F107-G107</f>
        <v>0</v>
      </c>
      <c r="I107" s="13">
        <f>C107*3+D107</f>
        <v>0</v>
      </c>
      <c r="J107" s="14">
        <f>RANK(K107,K105:K108)</f>
        <v>1</v>
      </c>
      <c r="K107" s="15">
        <f>I107*10000+H107*100+F107</f>
        <v>0</v>
      </c>
      <c r="M107" s="16" t="str">
        <f>A105</f>
        <v>England</v>
      </c>
      <c r="N107" s="17"/>
      <c r="O107" s="18" t="s">
        <v>124</v>
      </c>
      <c r="P107" s="17"/>
      <c r="Q107" s="19" t="str">
        <f>A108</f>
        <v>Panama</v>
      </c>
    </row>
    <row r="108" spans="1:17" ht="15" customHeight="1" x14ac:dyDescent="0.2">
      <c r="A108" s="20" t="s">
        <v>93</v>
      </c>
      <c r="B108" s="21">
        <f>C108+D108+E108</f>
        <v>0</v>
      </c>
      <c r="C108" s="21">
        <f>IF(AND(P107&lt;&gt;"",N107&lt;&gt;"",P107&gt;N107),1,0)+IF(AND(P109&lt;&gt;"",N109&lt;&gt;"",P109&gt;N109),1,0)+IF(AND(P110&lt;&gt;"",N110&lt;&gt;"",P110&gt;N110),1,0)</f>
        <v>0</v>
      </c>
      <c r="D108" s="21">
        <f>IF(AND(P107&lt;&gt;"",N107&lt;&gt;"",P107=N107),1,0)+IF(AND(P109&lt;&gt;"",N109&lt;&gt;"",P109=N109),1,0)+IF(AND(P110&lt;&gt;"",N110&lt;&gt;"",P110=N110),1,0)</f>
        <v>0</v>
      </c>
      <c r="E108" s="21">
        <f>IF(AND(P107&lt;&gt;"",N107&lt;&gt;"",P107&lt;N107),1,0)+IF(AND(P109&lt;&gt;"",N109&lt;&gt;"",P109&lt;N109),1,0)+IF(AND(P110&lt;&gt;"",N110&lt;&gt;"",P110&lt;N110),1,0)</f>
        <v>0</v>
      </c>
      <c r="F108" s="21">
        <f>IF(P107&lt;&gt;"",P107,0)+IF(P109&lt;&gt;"",P109,0)+IF(P110&lt;&gt;"",P110,0)</f>
        <v>0</v>
      </c>
      <c r="G108" s="21">
        <f>IF(N107&lt;&gt;"",N107,0)+IF(N109&lt;&gt;"",N109,0)+IF(N110&lt;&gt;"",N110,0)</f>
        <v>0</v>
      </c>
      <c r="H108" s="21">
        <f>F108-G108</f>
        <v>0</v>
      </c>
      <c r="I108" s="13">
        <f>C108*3+D108</f>
        <v>0</v>
      </c>
      <c r="J108" s="22">
        <f>RANK(K108,K105:K108)</f>
        <v>1</v>
      </c>
      <c r="K108" s="15">
        <f>I108*10000+H108*100+F108</f>
        <v>0</v>
      </c>
      <c r="M108" s="16" t="str">
        <f>A106</f>
        <v>Croatia</v>
      </c>
      <c r="N108" s="17"/>
      <c r="O108" s="18" t="s">
        <v>124</v>
      </c>
      <c r="P108" s="17"/>
      <c r="Q108" s="19" t="str">
        <f>A107</f>
        <v>Ghana</v>
      </c>
    </row>
    <row r="109" spans="1:17" ht="15" customHeight="1" x14ac:dyDescent="0.2">
      <c r="M109" s="16" t="str">
        <f>A106</f>
        <v>Croatia</v>
      </c>
      <c r="N109" s="17"/>
      <c r="O109" s="18" t="s">
        <v>124</v>
      </c>
      <c r="P109" s="17"/>
      <c r="Q109" s="19" t="str">
        <f>A108</f>
        <v>Panama</v>
      </c>
    </row>
    <row r="110" spans="1:17" ht="15" customHeight="1" x14ac:dyDescent="0.2">
      <c r="M110" s="16" t="str">
        <f>A107</f>
        <v>Ghana</v>
      </c>
      <c r="N110" s="17"/>
      <c r="O110" s="18" t="s">
        <v>124</v>
      </c>
      <c r="P110" s="17"/>
      <c r="Q110" s="19" t="str">
        <f>A108</f>
        <v>Panama</v>
      </c>
    </row>
  </sheetData>
  <mergeCells count="26">
    <mergeCell ref="M103:Q103"/>
    <mergeCell ref="A13:K13"/>
    <mergeCell ref="A40:K40"/>
    <mergeCell ref="A67:K67"/>
    <mergeCell ref="M4:Q4"/>
    <mergeCell ref="A103:K103"/>
    <mergeCell ref="A94:K94"/>
    <mergeCell ref="A1:Q1"/>
    <mergeCell ref="M94:Q94"/>
    <mergeCell ref="M22:Q22"/>
    <mergeCell ref="M13:Q13"/>
    <mergeCell ref="M31:Q31"/>
    <mergeCell ref="M40:Q40"/>
    <mergeCell ref="A2:Q2"/>
    <mergeCell ref="A85:K85"/>
    <mergeCell ref="M85:Q85"/>
    <mergeCell ref="A76:K76"/>
    <mergeCell ref="A31:K31"/>
    <mergeCell ref="A22:K22"/>
    <mergeCell ref="A4:K4"/>
    <mergeCell ref="M76:Q76"/>
    <mergeCell ref="A58:K58"/>
    <mergeCell ref="M58:Q58"/>
    <mergeCell ref="A49:K49"/>
    <mergeCell ref="M49:Q49"/>
    <mergeCell ref="M67:Q6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9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4" width="5" customWidth="1"/>
    <col min="5" max="5" width="22" customWidth="1"/>
    <col min="6" max="6" width="14" customWidth="1"/>
    <col min="7" max="7" width="22" customWidth="1"/>
  </cols>
  <sheetData>
    <row r="1" spans="1:7" ht="24" customHeight="1" x14ac:dyDescent="0.2">
      <c r="A1" s="64" t="s">
        <v>136</v>
      </c>
      <c r="B1" s="65"/>
      <c r="C1" s="65"/>
      <c r="D1" s="65"/>
      <c r="E1" s="65"/>
      <c r="F1" s="65"/>
      <c r="G1" s="65"/>
    </row>
    <row r="2" spans="1:7" ht="28" customHeight="1" x14ac:dyDescent="0.2">
      <c r="A2" s="81" t="s">
        <v>137</v>
      </c>
      <c r="B2" s="65"/>
      <c r="C2" s="65"/>
      <c r="D2" s="65"/>
      <c r="E2" s="65"/>
      <c r="F2" s="65"/>
      <c r="G2" s="65"/>
    </row>
    <row r="4" spans="1:7" ht="20" customHeight="1" x14ac:dyDescent="0.2">
      <c r="A4" s="80" t="s">
        <v>138</v>
      </c>
      <c r="B4" s="65"/>
      <c r="C4" s="65"/>
      <c r="D4" s="65"/>
      <c r="E4" s="65"/>
      <c r="F4" s="65"/>
      <c r="G4" s="65"/>
    </row>
    <row r="5" spans="1:7" x14ac:dyDescent="0.2">
      <c r="A5" s="29" t="s">
        <v>139</v>
      </c>
      <c r="B5" s="79" t="s">
        <v>21</v>
      </c>
      <c r="C5" s="76"/>
      <c r="D5" s="76"/>
      <c r="E5" s="76"/>
      <c r="F5" s="77"/>
      <c r="G5" s="29" t="s">
        <v>140</v>
      </c>
    </row>
    <row r="6" spans="1:7" x14ac:dyDescent="0.2">
      <c r="A6" s="30" t="s">
        <v>12</v>
      </c>
      <c r="B6" s="78" t="str">
        <f>IF(G59="","",G59)</f>
        <v/>
      </c>
      <c r="C6" s="76"/>
      <c r="D6" s="76"/>
      <c r="E6" s="76"/>
      <c r="F6" s="77"/>
      <c r="G6" s="31" t="str">
        <f>IFERROR(VLOOKUP(B6,'Participating Teams'!$B$4:$F$51,5,FALSE),"")</f>
        <v/>
      </c>
    </row>
    <row r="7" spans="1:7" x14ac:dyDescent="0.2">
      <c r="A7" s="32" t="s">
        <v>141</v>
      </c>
      <c r="B7" s="75" t="str">
        <f>IF(G59="","",IF(G59=B59,E59,B59))</f>
        <v/>
      </c>
      <c r="C7" s="76"/>
      <c r="D7" s="76"/>
      <c r="E7" s="76"/>
      <c r="F7" s="77"/>
      <c r="G7" s="31" t="str">
        <f>IFERROR(VLOOKUP(B7,'Participating Teams'!$B$4:$F$51,5,FALSE),"")</f>
        <v/>
      </c>
    </row>
    <row r="8" spans="1:7" x14ac:dyDescent="0.2">
      <c r="A8" s="32" t="s">
        <v>142</v>
      </c>
      <c r="B8" s="75" t="str">
        <f>IF(G55="","",G55)</f>
        <v/>
      </c>
      <c r="C8" s="76"/>
      <c r="D8" s="76"/>
      <c r="E8" s="76"/>
      <c r="F8" s="77"/>
      <c r="G8" s="31" t="str">
        <f>IFERROR(VLOOKUP(B8,'Participating Teams'!$B$4:$F$51,5,FALSE),"")</f>
        <v/>
      </c>
    </row>
    <row r="9" spans="1:7" x14ac:dyDescent="0.2">
      <c r="A9" s="32" t="s">
        <v>143</v>
      </c>
      <c r="B9" s="75" t="str">
        <f>IF(G55="","",IF(G55=B55,E55,B55))</f>
        <v/>
      </c>
      <c r="C9" s="76"/>
      <c r="D9" s="76"/>
      <c r="E9" s="76"/>
      <c r="F9" s="77"/>
      <c r="G9" s="31" t="str">
        <f>IFERROR(VLOOKUP(B9,'Participating Teams'!$B$4:$F$51,5,FALSE),"")</f>
        <v/>
      </c>
    </row>
    <row r="11" spans="1:7" ht="20" customHeight="1" x14ac:dyDescent="0.2">
      <c r="A11" s="66" t="s">
        <v>144</v>
      </c>
      <c r="B11" s="65"/>
      <c r="C11" s="65"/>
      <c r="D11" s="65"/>
      <c r="E11" s="65"/>
      <c r="F11" s="65"/>
      <c r="G11" s="65"/>
    </row>
    <row r="12" spans="1:7" ht="24" x14ac:dyDescent="0.2">
      <c r="A12" s="33" t="s">
        <v>145</v>
      </c>
      <c r="B12" s="33" t="s">
        <v>122</v>
      </c>
      <c r="C12" s="33"/>
      <c r="D12" s="33"/>
      <c r="E12" s="33" t="s">
        <v>123</v>
      </c>
      <c r="F12" s="33" t="s">
        <v>146</v>
      </c>
      <c r="G12" s="33" t="s">
        <v>147</v>
      </c>
    </row>
    <row r="13" spans="1:7" x14ac:dyDescent="0.2">
      <c r="A13" s="34" t="s">
        <v>148</v>
      </c>
      <c r="B13" s="35"/>
      <c r="C13" s="36"/>
      <c r="D13" s="36"/>
      <c r="E13" s="37"/>
      <c r="F13" s="38"/>
      <c r="G13" s="39" t="str">
        <f t="shared" ref="G13:G28" si="0">IF(OR(C13="",D13=""),"",IF(C13&gt;D13,B13,IF(D13&gt;C13,E13,F13)))</f>
        <v/>
      </c>
    </row>
    <row r="14" spans="1:7" x14ac:dyDescent="0.2">
      <c r="A14" s="34" t="s">
        <v>149</v>
      </c>
      <c r="B14" s="35"/>
      <c r="C14" s="36"/>
      <c r="D14" s="36"/>
      <c r="E14" s="37"/>
      <c r="F14" s="38"/>
      <c r="G14" s="39" t="str">
        <f t="shared" si="0"/>
        <v/>
      </c>
    </row>
    <row r="15" spans="1:7" x14ac:dyDescent="0.2">
      <c r="A15" s="34" t="s">
        <v>150</v>
      </c>
      <c r="B15" s="35"/>
      <c r="C15" s="36"/>
      <c r="D15" s="36"/>
      <c r="E15" s="37"/>
      <c r="F15" s="38"/>
      <c r="G15" s="39" t="str">
        <f t="shared" si="0"/>
        <v/>
      </c>
    </row>
    <row r="16" spans="1:7" x14ac:dyDescent="0.2">
      <c r="A16" s="34" t="s">
        <v>151</v>
      </c>
      <c r="B16" s="35"/>
      <c r="C16" s="36"/>
      <c r="D16" s="36"/>
      <c r="E16" s="37"/>
      <c r="F16" s="38"/>
      <c r="G16" s="39" t="str">
        <f t="shared" si="0"/>
        <v/>
      </c>
    </row>
    <row r="17" spans="1:7" x14ac:dyDescent="0.2">
      <c r="A17" s="34" t="s">
        <v>152</v>
      </c>
      <c r="B17" s="35"/>
      <c r="C17" s="36"/>
      <c r="D17" s="36"/>
      <c r="E17" s="37"/>
      <c r="F17" s="38"/>
      <c r="G17" s="39" t="str">
        <f t="shared" si="0"/>
        <v/>
      </c>
    </row>
    <row r="18" spans="1:7" x14ac:dyDescent="0.2">
      <c r="A18" s="34" t="s">
        <v>153</v>
      </c>
      <c r="B18" s="35"/>
      <c r="C18" s="36"/>
      <c r="D18" s="36"/>
      <c r="E18" s="37"/>
      <c r="F18" s="38"/>
      <c r="G18" s="39" t="str">
        <f t="shared" si="0"/>
        <v/>
      </c>
    </row>
    <row r="19" spans="1:7" x14ac:dyDescent="0.2">
      <c r="A19" s="34" t="s">
        <v>154</v>
      </c>
      <c r="B19" s="35"/>
      <c r="C19" s="36"/>
      <c r="D19" s="36"/>
      <c r="E19" s="37"/>
      <c r="F19" s="38"/>
      <c r="G19" s="39" t="str">
        <f t="shared" si="0"/>
        <v/>
      </c>
    </row>
    <row r="20" spans="1:7" x14ac:dyDescent="0.2">
      <c r="A20" s="34" t="s">
        <v>155</v>
      </c>
      <c r="B20" s="35"/>
      <c r="C20" s="36"/>
      <c r="D20" s="36"/>
      <c r="E20" s="37"/>
      <c r="F20" s="38"/>
      <c r="G20" s="39" t="str">
        <f t="shared" si="0"/>
        <v/>
      </c>
    </row>
    <row r="21" spans="1:7" x14ac:dyDescent="0.2">
      <c r="A21" s="34" t="s">
        <v>156</v>
      </c>
      <c r="B21" s="35"/>
      <c r="C21" s="36"/>
      <c r="D21" s="36"/>
      <c r="E21" s="37"/>
      <c r="F21" s="38"/>
      <c r="G21" s="39" t="str">
        <f t="shared" si="0"/>
        <v/>
      </c>
    </row>
    <row r="22" spans="1:7" x14ac:dyDescent="0.2">
      <c r="A22" s="34" t="s">
        <v>157</v>
      </c>
      <c r="B22" s="35"/>
      <c r="C22" s="36"/>
      <c r="D22" s="36"/>
      <c r="E22" s="37"/>
      <c r="F22" s="38"/>
      <c r="G22" s="39" t="str">
        <f t="shared" si="0"/>
        <v/>
      </c>
    </row>
    <row r="23" spans="1:7" x14ac:dyDescent="0.2">
      <c r="A23" s="34" t="s">
        <v>158</v>
      </c>
      <c r="B23" s="35"/>
      <c r="C23" s="36"/>
      <c r="D23" s="36"/>
      <c r="E23" s="37"/>
      <c r="F23" s="38"/>
      <c r="G23" s="39" t="str">
        <f t="shared" si="0"/>
        <v/>
      </c>
    </row>
    <row r="24" spans="1:7" x14ac:dyDescent="0.2">
      <c r="A24" s="34" t="s">
        <v>159</v>
      </c>
      <c r="B24" s="35"/>
      <c r="C24" s="36"/>
      <c r="D24" s="36"/>
      <c r="E24" s="37"/>
      <c r="F24" s="38"/>
      <c r="G24" s="39" t="str">
        <f t="shared" si="0"/>
        <v/>
      </c>
    </row>
    <row r="25" spans="1:7" x14ac:dyDescent="0.2">
      <c r="A25" s="34" t="s">
        <v>160</v>
      </c>
      <c r="B25" s="35"/>
      <c r="C25" s="36"/>
      <c r="D25" s="36"/>
      <c r="E25" s="37"/>
      <c r="F25" s="38"/>
      <c r="G25" s="39" t="str">
        <f t="shared" si="0"/>
        <v/>
      </c>
    </row>
    <row r="26" spans="1:7" x14ac:dyDescent="0.2">
      <c r="A26" s="34" t="s">
        <v>161</v>
      </c>
      <c r="B26" s="35"/>
      <c r="C26" s="36"/>
      <c r="D26" s="36"/>
      <c r="E26" s="37"/>
      <c r="F26" s="38"/>
      <c r="G26" s="39" t="str">
        <f t="shared" si="0"/>
        <v/>
      </c>
    </row>
    <row r="27" spans="1:7" x14ac:dyDescent="0.2">
      <c r="A27" s="34" t="s">
        <v>162</v>
      </c>
      <c r="B27" s="35"/>
      <c r="C27" s="36"/>
      <c r="D27" s="36"/>
      <c r="E27" s="37"/>
      <c r="F27" s="38"/>
      <c r="G27" s="39" t="str">
        <f t="shared" si="0"/>
        <v/>
      </c>
    </row>
    <row r="28" spans="1:7" x14ac:dyDescent="0.2">
      <c r="A28" s="34" t="s">
        <v>163</v>
      </c>
      <c r="B28" s="35"/>
      <c r="C28" s="36"/>
      <c r="D28" s="36"/>
      <c r="E28" s="37"/>
      <c r="F28" s="38"/>
      <c r="G28" s="39" t="str">
        <f t="shared" si="0"/>
        <v/>
      </c>
    </row>
    <row r="30" spans="1:7" ht="20" customHeight="1" x14ac:dyDescent="0.2">
      <c r="A30" s="66" t="s">
        <v>164</v>
      </c>
      <c r="B30" s="65"/>
      <c r="C30" s="65"/>
      <c r="D30" s="65"/>
      <c r="E30" s="65"/>
      <c r="F30" s="65"/>
      <c r="G30" s="65"/>
    </row>
    <row r="31" spans="1:7" ht="24" x14ac:dyDescent="0.2">
      <c r="A31" s="33" t="s">
        <v>145</v>
      </c>
      <c r="B31" s="33" t="s">
        <v>122</v>
      </c>
      <c r="C31" s="33"/>
      <c r="D31" s="33"/>
      <c r="E31" s="33" t="s">
        <v>123</v>
      </c>
      <c r="F31" s="33" t="s">
        <v>146</v>
      </c>
      <c r="G31" s="33" t="s">
        <v>147</v>
      </c>
    </row>
    <row r="32" spans="1:7" x14ac:dyDescent="0.2">
      <c r="A32" s="34" t="s">
        <v>165</v>
      </c>
      <c r="B32" s="40" t="str">
        <f>IF(G13="","",G13)</f>
        <v/>
      </c>
      <c r="C32" s="36"/>
      <c r="D32" s="36"/>
      <c r="E32" s="41" t="str">
        <f>IF(G14="","",G14)</f>
        <v/>
      </c>
      <c r="F32" s="38"/>
      <c r="G32" s="39" t="str">
        <f t="shared" ref="G32:G39" si="1">IF(OR(C32="",D32=""),"",IF(C32&gt;D32,B32,IF(D32&gt;C32,E32,F32)))</f>
        <v/>
      </c>
    </row>
    <row r="33" spans="1:7" x14ac:dyDescent="0.2">
      <c r="A33" s="34" t="s">
        <v>166</v>
      </c>
      <c r="B33" s="40" t="str">
        <f>IF(G15="","",G15)</f>
        <v/>
      </c>
      <c r="C33" s="36"/>
      <c r="D33" s="36"/>
      <c r="E33" s="41" t="str">
        <f>IF(G16="","",G16)</f>
        <v/>
      </c>
      <c r="F33" s="38"/>
      <c r="G33" s="39" t="str">
        <f t="shared" si="1"/>
        <v/>
      </c>
    </row>
    <row r="34" spans="1:7" x14ac:dyDescent="0.2">
      <c r="A34" s="34" t="s">
        <v>167</v>
      </c>
      <c r="B34" s="40" t="str">
        <f>IF(G17="","",G17)</f>
        <v/>
      </c>
      <c r="C34" s="36"/>
      <c r="D34" s="36"/>
      <c r="E34" s="41" t="str">
        <f>IF(G18="","",G18)</f>
        <v/>
      </c>
      <c r="F34" s="38"/>
      <c r="G34" s="39" t="str">
        <f t="shared" si="1"/>
        <v/>
      </c>
    </row>
    <row r="35" spans="1:7" x14ac:dyDescent="0.2">
      <c r="A35" s="34" t="s">
        <v>168</v>
      </c>
      <c r="B35" s="40" t="str">
        <f>IF(G19="","",G19)</f>
        <v/>
      </c>
      <c r="C35" s="36"/>
      <c r="D35" s="36"/>
      <c r="E35" s="41" t="str">
        <f>IF(G20="","",G20)</f>
        <v/>
      </c>
      <c r="F35" s="38"/>
      <c r="G35" s="39" t="str">
        <f t="shared" si="1"/>
        <v/>
      </c>
    </row>
    <row r="36" spans="1:7" x14ac:dyDescent="0.2">
      <c r="A36" s="34" t="s">
        <v>169</v>
      </c>
      <c r="B36" s="40" t="str">
        <f>IF(G21="","",G21)</f>
        <v/>
      </c>
      <c r="C36" s="36"/>
      <c r="D36" s="36"/>
      <c r="E36" s="41" t="str">
        <f>IF(G22="","",G22)</f>
        <v/>
      </c>
      <c r="F36" s="38"/>
      <c r="G36" s="39" t="str">
        <f t="shared" si="1"/>
        <v/>
      </c>
    </row>
    <row r="37" spans="1:7" x14ac:dyDescent="0.2">
      <c r="A37" s="34" t="s">
        <v>170</v>
      </c>
      <c r="B37" s="40" t="str">
        <f>IF(G23="","",G23)</f>
        <v/>
      </c>
      <c r="C37" s="36"/>
      <c r="D37" s="36"/>
      <c r="E37" s="41" t="str">
        <f>IF(G24="","",G24)</f>
        <v/>
      </c>
      <c r="F37" s="38"/>
      <c r="G37" s="39" t="str">
        <f t="shared" si="1"/>
        <v/>
      </c>
    </row>
    <row r="38" spans="1:7" x14ac:dyDescent="0.2">
      <c r="A38" s="34" t="s">
        <v>171</v>
      </c>
      <c r="B38" s="40" t="str">
        <f>IF(G25="","",G25)</f>
        <v/>
      </c>
      <c r="C38" s="36"/>
      <c r="D38" s="36"/>
      <c r="E38" s="41" t="str">
        <f>IF(G26="","",G26)</f>
        <v/>
      </c>
      <c r="F38" s="38"/>
      <c r="G38" s="39" t="str">
        <f t="shared" si="1"/>
        <v/>
      </c>
    </row>
    <row r="39" spans="1:7" x14ac:dyDescent="0.2">
      <c r="A39" s="34" t="s">
        <v>172</v>
      </c>
      <c r="B39" s="40" t="str">
        <f>IF(G27="","",G27)</f>
        <v/>
      </c>
      <c r="C39" s="36"/>
      <c r="D39" s="36"/>
      <c r="E39" s="41" t="str">
        <f>IF(G28="","",G28)</f>
        <v/>
      </c>
      <c r="F39" s="38"/>
      <c r="G39" s="39" t="str">
        <f t="shared" si="1"/>
        <v/>
      </c>
    </row>
    <row r="41" spans="1:7" ht="20" customHeight="1" x14ac:dyDescent="0.2">
      <c r="A41" s="66" t="s">
        <v>173</v>
      </c>
      <c r="B41" s="65"/>
      <c r="C41" s="65"/>
      <c r="D41" s="65"/>
      <c r="E41" s="65"/>
      <c r="F41" s="65"/>
      <c r="G41" s="65"/>
    </row>
    <row r="42" spans="1:7" ht="24" x14ac:dyDescent="0.2">
      <c r="A42" s="33" t="s">
        <v>145</v>
      </c>
      <c r="B42" s="33" t="s">
        <v>122</v>
      </c>
      <c r="C42" s="33"/>
      <c r="D42" s="33"/>
      <c r="E42" s="33" t="s">
        <v>123</v>
      </c>
      <c r="F42" s="33" t="s">
        <v>146</v>
      </c>
      <c r="G42" s="33" t="s">
        <v>147</v>
      </c>
    </row>
    <row r="43" spans="1:7" x14ac:dyDescent="0.2">
      <c r="A43" s="34" t="s">
        <v>174</v>
      </c>
      <c r="B43" s="40" t="str">
        <f>IF(G32="","",G32)</f>
        <v/>
      </c>
      <c r="C43" s="36"/>
      <c r="D43" s="36"/>
      <c r="E43" s="41" t="str">
        <f>IF(G33="","",G33)</f>
        <v/>
      </c>
      <c r="F43" s="38"/>
      <c r="G43" s="39" t="str">
        <f>IF(OR(C43="",D43=""),"",IF(C43&gt;D43,B43,IF(D43&gt;C43,E43,F43)))</f>
        <v/>
      </c>
    </row>
    <row r="44" spans="1:7" x14ac:dyDescent="0.2">
      <c r="A44" s="34" t="s">
        <v>175</v>
      </c>
      <c r="B44" s="40" t="str">
        <f>IF(G34="","",G34)</f>
        <v/>
      </c>
      <c r="C44" s="36"/>
      <c r="D44" s="36"/>
      <c r="E44" s="41" t="str">
        <f>IF(G35="","",G35)</f>
        <v/>
      </c>
      <c r="F44" s="38"/>
      <c r="G44" s="39" t="str">
        <f>IF(OR(C44="",D44=""),"",IF(C44&gt;D44,B44,IF(D44&gt;C44,E44,F44)))</f>
        <v/>
      </c>
    </row>
    <row r="45" spans="1:7" x14ac:dyDescent="0.2">
      <c r="A45" s="34" t="s">
        <v>176</v>
      </c>
      <c r="B45" s="40" t="str">
        <f>IF(G36="","",G36)</f>
        <v/>
      </c>
      <c r="C45" s="36"/>
      <c r="D45" s="36"/>
      <c r="E45" s="41" t="str">
        <f>IF(G37="","",G37)</f>
        <v/>
      </c>
      <c r="F45" s="38"/>
      <c r="G45" s="39" t="str">
        <f>IF(OR(C45="",D45=""),"",IF(C45&gt;D45,B45,IF(D45&gt;C45,E45,F45)))</f>
        <v/>
      </c>
    </row>
    <row r="46" spans="1:7" x14ac:dyDescent="0.2">
      <c r="A46" s="34" t="s">
        <v>177</v>
      </c>
      <c r="B46" s="40" t="str">
        <f>IF(G38="","",G38)</f>
        <v/>
      </c>
      <c r="C46" s="36"/>
      <c r="D46" s="36"/>
      <c r="E46" s="41" t="str">
        <f>IF(G39="","",G39)</f>
        <v/>
      </c>
      <c r="F46" s="38"/>
      <c r="G46" s="39" t="str">
        <f>IF(OR(C46="",D46=""),"",IF(C46&gt;D46,B46,IF(D46&gt;C46,E46,F46)))</f>
        <v/>
      </c>
    </row>
    <row r="48" spans="1:7" ht="20" customHeight="1" x14ac:dyDescent="0.2">
      <c r="A48" s="66" t="s">
        <v>178</v>
      </c>
      <c r="B48" s="65"/>
      <c r="C48" s="65"/>
      <c r="D48" s="65"/>
      <c r="E48" s="65"/>
      <c r="F48" s="65"/>
      <c r="G48" s="65"/>
    </row>
    <row r="49" spans="1:7" ht="24" x14ac:dyDescent="0.2">
      <c r="A49" s="33" t="s">
        <v>145</v>
      </c>
      <c r="B49" s="33" t="s">
        <v>122</v>
      </c>
      <c r="C49" s="33"/>
      <c r="D49" s="33"/>
      <c r="E49" s="33" t="s">
        <v>123</v>
      </c>
      <c r="F49" s="33" t="s">
        <v>146</v>
      </c>
      <c r="G49" s="33" t="s">
        <v>147</v>
      </c>
    </row>
    <row r="50" spans="1:7" x14ac:dyDescent="0.2">
      <c r="A50" s="34" t="s">
        <v>179</v>
      </c>
      <c r="B50" s="40" t="str">
        <f>IF(G43="","",G43)</f>
        <v/>
      </c>
      <c r="C50" s="36"/>
      <c r="D50" s="36"/>
      <c r="E50" s="41" t="str">
        <f>IF(G44="","",G44)</f>
        <v/>
      </c>
      <c r="F50" s="38"/>
      <c r="G50" s="39" t="str">
        <f>IF(OR(C50="",D50=""),"",IF(C50&gt;D50,B50,IF(D50&gt;C50,E50,F50)))</f>
        <v/>
      </c>
    </row>
    <row r="51" spans="1:7" x14ac:dyDescent="0.2">
      <c r="A51" s="34" t="s">
        <v>180</v>
      </c>
      <c r="B51" s="40" t="str">
        <f>IF(G45="","",G45)</f>
        <v/>
      </c>
      <c r="C51" s="36"/>
      <c r="D51" s="36"/>
      <c r="E51" s="41" t="str">
        <f>IF(G46="","",G46)</f>
        <v/>
      </c>
      <c r="F51" s="38"/>
      <c r="G51" s="39" t="str">
        <f>IF(OR(C51="",D51=""),"",IF(C51&gt;D51,B51,IF(D51&gt;C51,E51,F51)))</f>
        <v/>
      </c>
    </row>
    <row r="53" spans="1:7" ht="20" customHeight="1" x14ac:dyDescent="0.2">
      <c r="A53" s="66" t="s">
        <v>181</v>
      </c>
      <c r="B53" s="65"/>
      <c r="C53" s="65"/>
      <c r="D53" s="65"/>
      <c r="E53" s="65"/>
      <c r="F53" s="65"/>
      <c r="G53" s="65"/>
    </row>
    <row r="54" spans="1:7" ht="24" x14ac:dyDescent="0.2">
      <c r="A54" s="33" t="s">
        <v>145</v>
      </c>
      <c r="B54" s="33" t="s">
        <v>122</v>
      </c>
      <c r="C54" s="33"/>
      <c r="D54" s="33"/>
      <c r="E54" s="33" t="s">
        <v>123</v>
      </c>
      <c r="F54" s="33" t="s">
        <v>146</v>
      </c>
      <c r="G54" s="33" t="s">
        <v>147</v>
      </c>
    </row>
    <row r="55" spans="1:7" x14ac:dyDescent="0.2">
      <c r="A55" s="34" t="s">
        <v>182</v>
      </c>
      <c r="B55" s="40" t="str">
        <f>IF(G50="","",IF(G50=B50,E50,B50))</f>
        <v/>
      </c>
      <c r="C55" s="36"/>
      <c r="D55" s="36"/>
      <c r="E55" s="41" t="str">
        <f>IF(G51="","",IF(G51=B51,E51,B51))</f>
        <v/>
      </c>
      <c r="F55" s="38"/>
      <c r="G55" s="39" t="str">
        <f>IF(OR(C55="",D55=""),"",IF(C55&gt;D55,B55,IF(D55&gt;C55,E55,F55)))</f>
        <v/>
      </c>
    </row>
    <row r="57" spans="1:7" ht="20" customHeight="1" x14ac:dyDescent="0.2">
      <c r="A57" s="66" t="s">
        <v>183</v>
      </c>
      <c r="B57" s="65"/>
      <c r="C57" s="65"/>
      <c r="D57" s="65"/>
      <c r="E57" s="65"/>
      <c r="F57" s="65"/>
      <c r="G57" s="65"/>
    </row>
    <row r="58" spans="1:7" ht="24" x14ac:dyDescent="0.2">
      <c r="A58" s="33" t="s">
        <v>145</v>
      </c>
      <c r="B58" s="33" t="s">
        <v>122</v>
      </c>
      <c r="C58" s="33"/>
      <c r="D58" s="33"/>
      <c r="E58" s="33" t="s">
        <v>123</v>
      </c>
      <c r="F58" s="33" t="s">
        <v>146</v>
      </c>
      <c r="G58" s="33" t="s">
        <v>147</v>
      </c>
    </row>
    <row r="59" spans="1:7" x14ac:dyDescent="0.2">
      <c r="A59" s="42" t="s">
        <v>183</v>
      </c>
      <c r="B59" s="43" t="str">
        <f>IF(G50="","",G50)</f>
        <v/>
      </c>
      <c r="C59" s="36"/>
      <c r="D59" s="36"/>
      <c r="E59" s="44" t="str">
        <f>IF(G51="","",G51)</f>
        <v/>
      </c>
      <c r="F59" s="38"/>
      <c r="G59" s="42" t="str">
        <f>IF(OR(C59="",D59=""),"",IF(C59&gt;D59,B59,IF(D59&gt;C59,E59,F59)))</f>
        <v/>
      </c>
    </row>
  </sheetData>
  <mergeCells count="14">
    <mergeCell ref="A57:G57"/>
    <mergeCell ref="A41:G41"/>
    <mergeCell ref="A11:G11"/>
    <mergeCell ref="B9:F9"/>
    <mergeCell ref="B7:F7"/>
    <mergeCell ref="A1:G1"/>
    <mergeCell ref="B6:F6"/>
    <mergeCell ref="A53:G53"/>
    <mergeCell ref="B5:F5"/>
    <mergeCell ref="A4:G4"/>
    <mergeCell ref="A48:G48"/>
    <mergeCell ref="A30:G30"/>
    <mergeCell ref="A2:G2"/>
    <mergeCell ref="B8:F8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'Participating Teams'!$B$4:$B$51</xm:f>
          </x14:formula1>
          <xm:sqref>B13:B28 E13:E28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5" customWidth="1"/>
    <col min="2" max="2" width="24" customWidth="1"/>
    <col min="3" max="3" width="8" customWidth="1"/>
    <col min="4" max="4" width="18" customWidth="1"/>
    <col min="5" max="5" width="11" customWidth="1"/>
    <col min="6" max="6" width="16" customWidth="1"/>
  </cols>
  <sheetData>
    <row r="1" spans="1:6" ht="24" customHeight="1" x14ac:dyDescent="0.2">
      <c r="A1" s="72" t="s">
        <v>184</v>
      </c>
      <c r="B1" s="65"/>
      <c r="C1" s="65"/>
      <c r="D1" s="65"/>
      <c r="E1" s="65"/>
      <c r="F1" s="65"/>
    </row>
    <row r="2" spans="1:6" ht="15" customHeight="1" x14ac:dyDescent="0.2">
      <c r="A2" s="71" t="s">
        <v>185</v>
      </c>
      <c r="B2" s="65"/>
      <c r="C2" s="65"/>
      <c r="D2" s="65"/>
      <c r="E2" s="65"/>
      <c r="F2" s="65"/>
    </row>
    <row r="3" spans="1:6" ht="15" customHeight="1" x14ac:dyDescent="0.2">
      <c r="A3" s="1" t="s">
        <v>186</v>
      </c>
      <c r="B3" s="1" t="s">
        <v>21</v>
      </c>
      <c r="C3" s="1" t="s">
        <v>44</v>
      </c>
      <c r="D3" s="1" t="s">
        <v>187</v>
      </c>
      <c r="E3" s="1" t="s">
        <v>188</v>
      </c>
      <c r="F3" s="1" t="s">
        <v>189</v>
      </c>
    </row>
    <row r="4" spans="1:6" ht="15" customHeight="1" x14ac:dyDescent="0.2">
      <c r="A4" s="5">
        <v>1</v>
      </c>
      <c r="B4" s="23" t="s">
        <v>26</v>
      </c>
      <c r="C4" s="5" t="s">
        <v>47</v>
      </c>
      <c r="D4" s="24" t="s">
        <v>190</v>
      </c>
      <c r="E4" s="5">
        <v>15</v>
      </c>
      <c r="F4" s="25"/>
    </row>
    <row r="5" spans="1:6" ht="15" customHeight="1" x14ac:dyDescent="0.2">
      <c r="A5" s="26">
        <v>2</v>
      </c>
      <c r="B5" s="27" t="s">
        <v>28</v>
      </c>
      <c r="C5" s="26" t="s">
        <v>47</v>
      </c>
      <c r="D5" s="28" t="s">
        <v>191</v>
      </c>
      <c r="E5" s="26">
        <v>25</v>
      </c>
      <c r="F5" s="25"/>
    </row>
    <row r="6" spans="1:6" ht="15" customHeight="1" x14ac:dyDescent="0.2">
      <c r="A6" s="5">
        <v>3</v>
      </c>
      <c r="B6" s="23" t="s">
        <v>30</v>
      </c>
      <c r="C6" s="5" t="s">
        <v>47</v>
      </c>
      <c r="D6" s="24" t="s">
        <v>192</v>
      </c>
      <c r="E6" s="5">
        <v>60</v>
      </c>
      <c r="F6" s="25"/>
    </row>
    <row r="7" spans="1:6" ht="15" customHeight="1" x14ac:dyDescent="0.2">
      <c r="A7" s="26">
        <v>4</v>
      </c>
      <c r="B7" s="27" t="s">
        <v>32</v>
      </c>
      <c r="C7" s="26" t="s">
        <v>47</v>
      </c>
      <c r="D7" s="28" t="s">
        <v>193</v>
      </c>
      <c r="E7" s="26">
        <v>41</v>
      </c>
      <c r="F7" s="25"/>
    </row>
    <row r="8" spans="1:6" ht="15" customHeight="1" x14ac:dyDescent="0.2">
      <c r="A8" s="5">
        <v>5</v>
      </c>
      <c r="B8" s="23" t="s">
        <v>34</v>
      </c>
      <c r="C8" s="5" t="s">
        <v>52</v>
      </c>
      <c r="D8" s="24" t="s">
        <v>190</v>
      </c>
      <c r="E8" s="5">
        <v>30</v>
      </c>
      <c r="F8" s="25"/>
    </row>
    <row r="9" spans="1:6" ht="15" customHeight="1" x14ac:dyDescent="0.2">
      <c r="A9" s="26">
        <v>6</v>
      </c>
      <c r="B9" s="27" t="s">
        <v>36</v>
      </c>
      <c r="C9" s="26" t="s">
        <v>52</v>
      </c>
      <c r="D9" s="28" t="s">
        <v>193</v>
      </c>
      <c r="E9" s="26">
        <v>19</v>
      </c>
      <c r="F9" s="25"/>
    </row>
    <row r="10" spans="1:6" ht="15" customHeight="1" x14ac:dyDescent="0.2">
      <c r="A10" s="5">
        <v>7</v>
      </c>
      <c r="B10" s="23" t="s">
        <v>38</v>
      </c>
      <c r="C10" s="5" t="s">
        <v>52</v>
      </c>
      <c r="D10" s="24" t="s">
        <v>191</v>
      </c>
      <c r="E10" s="5">
        <v>53</v>
      </c>
      <c r="F10" s="25"/>
    </row>
    <row r="11" spans="1:6" ht="15" customHeight="1" x14ac:dyDescent="0.2">
      <c r="A11" s="26">
        <v>8</v>
      </c>
      <c r="B11" s="27" t="s">
        <v>40</v>
      </c>
      <c r="C11" s="26" t="s">
        <v>52</v>
      </c>
      <c r="D11" s="28" t="s">
        <v>193</v>
      </c>
      <c r="E11" s="26">
        <v>71</v>
      </c>
      <c r="F11" s="25"/>
    </row>
    <row r="12" spans="1:6" ht="15" customHeight="1" x14ac:dyDescent="0.2">
      <c r="A12" s="5">
        <v>9</v>
      </c>
      <c r="B12" s="23" t="s">
        <v>41</v>
      </c>
      <c r="C12" s="5" t="s">
        <v>57</v>
      </c>
      <c r="D12" s="24" t="s">
        <v>194</v>
      </c>
      <c r="E12" s="5">
        <v>6</v>
      </c>
      <c r="F12" s="25"/>
    </row>
    <row r="13" spans="1:6" ht="15" customHeight="1" x14ac:dyDescent="0.2">
      <c r="A13" s="26">
        <v>10</v>
      </c>
      <c r="B13" s="27" t="s">
        <v>43</v>
      </c>
      <c r="C13" s="26" t="s">
        <v>57</v>
      </c>
      <c r="D13" s="28" t="s">
        <v>192</v>
      </c>
      <c r="E13" s="26">
        <v>8</v>
      </c>
      <c r="F13" s="25"/>
    </row>
    <row r="14" spans="1:6" ht="15" customHeight="1" x14ac:dyDescent="0.2">
      <c r="A14" s="5">
        <v>11</v>
      </c>
      <c r="B14" s="23" t="s">
        <v>46</v>
      </c>
      <c r="C14" s="5" t="s">
        <v>57</v>
      </c>
      <c r="D14" s="24" t="s">
        <v>193</v>
      </c>
      <c r="E14" s="5">
        <v>43</v>
      </c>
      <c r="F14" s="25"/>
    </row>
    <row r="15" spans="1:6" ht="15" customHeight="1" x14ac:dyDescent="0.2">
      <c r="A15" s="26">
        <v>12</v>
      </c>
      <c r="B15" s="27" t="s">
        <v>48</v>
      </c>
      <c r="C15" s="26" t="s">
        <v>57</v>
      </c>
      <c r="D15" s="28" t="s">
        <v>195</v>
      </c>
      <c r="E15" s="26">
        <v>79</v>
      </c>
      <c r="F15" s="25"/>
    </row>
    <row r="16" spans="1:6" ht="15" customHeight="1" x14ac:dyDescent="0.2">
      <c r="A16" s="5">
        <v>13</v>
      </c>
      <c r="B16" s="23" t="s">
        <v>49</v>
      </c>
      <c r="C16" s="5" t="s">
        <v>62</v>
      </c>
      <c r="D16" s="24" t="s">
        <v>190</v>
      </c>
      <c r="E16" s="5">
        <v>16</v>
      </c>
      <c r="F16" s="25"/>
    </row>
    <row r="17" spans="1:6" ht="15" customHeight="1" x14ac:dyDescent="0.2">
      <c r="A17" s="26">
        <v>14</v>
      </c>
      <c r="B17" s="27" t="s">
        <v>50</v>
      </c>
      <c r="C17" s="26" t="s">
        <v>62</v>
      </c>
      <c r="D17" s="28" t="s">
        <v>194</v>
      </c>
      <c r="E17" s="26">
        <v>38</v>
      </c>
      <c r="F17" s="25"/>
    </row>
    <row r="18" spans="1:6" ht="15" customHeight="1" x14ac:dyDescent="0.2">
      <c r="A18" s="5">
        <v>15</v>
      </c>
      <c r="B18" s="23" t="s">
        <v>51</v>
      </c>
      <c r="C18" s="5" t="s">
        <v>62</v>
      </c>
      <c r="D18" s="24" t="s">
        <v>191</v>
      </c>
      <c r="E18" s="5">
        <v>27</v>
      </c>
      <c r="F18" s="25"/>
    </row>
    <row r="19" spans="1:6" ht="15" customHeight="1" x14ac:dyDescent="0.2">
      <c r="A19" s="26">
        <v>16</v>
      </c>
      <c r="B19" s="27" t="s">
        <v>53</v>
      </c>
      <c r="C19" s="26" t="s">
        <v>62</v>
      </c>
      <c r="D19" s="28" t="s">
        <v>193</v>
      </c>
      <c r="E19" s="26">
        <v>22</v>
      </c>
      <c r="F19" s="25"/>
    </row>
    <row r="20" spans="1:6" ht="15" customHeight="1" x14ac:dyDescent="0.2">
      <c r="A20" s="5">
        <v>17</v>
      </c>
      <c r="B20" s="23" t="s">
        <v>54</v>
      </c>
      <c r="C20" s="5" t="s">
        <v>67</v>
      </c>
      <c r="D20" s="24" t="s">
        <v>193</v>
      </c>
      <c r="E20" s="5">
        <v>10</v>
      </c>
      <c r="F20" s="25"/>
    </row>
    <row r="21" spans="1:6" ht="15" customHeight="1" x14ac:dyDescent="0.2">
      <c r="A21" s="26">
        <v>18</v>
      </c>
      <c r="B21" s="27" t="s">
        <v>55</v>
      </c>
      <c r="C21" s="26" t="s">
        <v>67</v>
      </c>
      <c r="D21" s="28" t="s">
        <v>194</v>
      </c>
      <c r="E21" s="26">
        <v>23</v>
      </c>
      <c r="F21" s="25"/>
    </row>
    <row r="22" spans="1:6" ht="15" customHeight="1" x14ac:dyDescent="0.2">
      <c r="A22" s="5">
        <v>19</v>
      </c>
      <c r="B22" s="23" t="s">
        <v>56</v>
      </c>
      <c r="C22" s="5" t="s">
        <v>67</v>
      </c>
      <c r="D22" s="24" t="s">
        <v>192</v>
      </c>
      <c r="E22" s="5">
        <v>39</v>
      </c>
      <c r="F22" s="25"/>
    </row>
    <row r="23" spans="1:6" ht="15" customHeight="1" x14ac:dyDescent="0.2">
      <c r="A23" s="26">
        <v>20</v>
      </c>
      <c r="B23" s="27" t="s">
        <v>58</v>
      </c>
      <c r="C23" s="26" t="s">
        <v>67</v>
      </c>
      <c r="D23" s="28" t="s">
        <v>195</v>
      </c>
      <c r="E23" s="26">
        <v>81</v>
      </c>
      <c r="F23" s="25"/>
    </row>
    <row r="24" spans="1:6" ht="15" customHeight="1" x14ac:dyDescent="0.2">
      <c r="A24" s="5">
        <v>21</v>
      </c>
      <c r="B24" s="23" t="s">
        <v>59</v>
      </c>
      <c r="C24" s="5" t="s">
        <v>72</v>
      </c>
      <c r="D24" s="24" t="s">
        <v>193</v>
      </c>
      <c r="E24" s="5">
        <v>7</v>
      </c>
      <c r="F24" s="25"/>
    </row>
    <row r="25" spans="1:6" ht="15" customHeight="1" x14ac:dyDescent="0.2">
      <c r="A25" s="26">
        <v>22</v>
      </c>
      <c r="B25" s="27" t="s">
        <v>60</v>
      </c>
      <c r="C25" s="26" t="s">
        <v>72</v>
      </c>
      <c r="D25" s="28" t="s">
        <v>191</v>
      </c>
      <c r="E25" s="26">
        <v>18</v>
      </c>
      <c r="F25" s="25"/>
    </row>
    <row r="26" spans="1:6" ht="15" customHeight="1" x14ac:dyDescent="0.2">
      <c r="A26" s="5">
        <v>23</v>
      </c>
      <c r="B26" s="23" t="s">
        <v>61</v>
      </c>
      <c r="C26" s="5" t="s">
        <v>72</v>
      </c>
      <c r="D26" s="24" t="s">
        <v>192</v>
      </c>
      <c r="E26" s="5">
        <v>47</v>
      </c>
      <c r="F26" s="25"/>
    </row>
    <row r="27" spans="1:6" ht="15" customHeight="1" x14ac:dyDescent="0.2">
      <c r="A27" s="26">
        <v>24</v>
      </c>
      <c r="B27" s="27" t="s">
        <v>63</v>
      </c>
      <c r="C27" s="26" t="s">
        <v>72</v>
      </c>
      <c r="D27" s="28" t="s">
        <v>193</v>
      </c>
      <c r="E27" s="26">
        <v>37</v>
      </c>
      <c r="F27" s="25"/>
    </row>
    <row r="28" spans="1:6" ht="15" customHeight="1" x14ac:dyDescent="0.2">
      <c r="A28" s="5">
        <v>25</v>
      </c>
      <c r="B28" s="23" t="s">
        <v>64</v>
      </c>
      <c r="C28" s="5" t="s">
        <v>77</v>
      </c>
      <c r="D28" s="24" t="s">
        <v>193</v>
      </c>
      <c r="E28" s="5">
        <v>9</v>
      </c>
      <c r="F28" s="25"/>
    </row>
    <row r="29" spans="1:6" ht="15" customHeight="1" x14ac:dyDescent="0.2">
      <c r="A29" s="26">
        <v>26</v>
      </c>
      <c r="B29" s="27" t="s">
        <v>65</v>
      </c>
      <c r="C29" s="26" t="s">
        <v>77</v>
      </c>
      <c r="D29" s="28" t="s">
        <v>191</v>
      </c>
      <c r="E29" s="26">
        <v>21</v>
      </c>
      <c r="F29" s="25"/>
    </row>
    <row r="30" spans="1:6" ht="15" customHeight="1" x14ac:dyDescent="0.2">
      <c r="A30" s="5">
        <v>27</v>
      </c>
      <c r="B30" s="23" t="s">
        <v>66</v>
      </c>
      <c r="C30" s="5" t="s">
        <v>77</v>
      </c>
      <c r="D30" s="24" t="s">
        <v>192</v>
      </c>
      <c r="E30" s="5">
        <v>33</v>
      </c>
      <c r="F30" s="25"/>
    </row>
    <row r="31" spans="1:6" ht="15" customHeight="1" x14ac:dyDescent="0.2">
      <c r="A31" s="26">
        <v>28</v>
      </c>
      <c r="B31" s="27" t="s">
        <v>68</v>
      </c>
      <c r="C31" s="26" t="s">
        <v>77</v>
      </c>
      <c r="D31" s="28" t="s">
        <v>196</v>
      </c>
      <c r="E31" s="26">
        <v>88</v>
      </c>
      <c r="F31" s="25"/>
    </row>
    <row r="32" spans="1:6" ht="15" customHeight="1" x14ac:dyDescent="0.2">
      <c r="A32" s="5">
        <v>29</v>
      </c>
      <c r="B32" s="23" t="s">
        <v>69</v>
      </c>
      <c r="C32" s="5" t="s">
        <v>82</v>
      </c>
      <c r="D32" s="24" t="s">
        <v>193</v>
      </c>
      <c r="E32" s="5">
        <v>2</v>
      </c>
      <c r="F32" s="25"/>
    </row>
    <row r="33" spans="1:6" ht="15" customHeight="1" x14ac:dyDescent="0.2">
      <c r="A33" s="26">
        <v>30</v>
      </c>
      <c r="B33" s="27" t="s">
        <v>70</v>
      </c>
      <c r="C33" s="26" t="s">
        <v>82</v>
      </c>
      <c r="D33" s="28" t="s">
        <v>194</v>
      </c>
      <c r="E33" s="26">
        <v>17</v>
      </c>
      <c r="F33" s="25"/>
    </row>
    <row r="34" spans="1:6" ht="15" customHeight="1" x14ac:dyDescent="0.2">
      <c r="A34" s="5">
        <v>31</v>
      </c>
      <c r="B34" s="23" t="s">
        <v>71</v>
      </c>
      <c r="C34" s="5" t="s">
        <v>82</v>
      </c>
      <c r="D34" s="24" t="s">
        <v>191</v>
      </c>
      <c r="E34" s="5">
        <v>58</v>
      </c>
      <c r="F34" s="25"/>
    </row>
    <row r="35" spans="1:6" ht="15" customHeight="1" x14ac:dyDescent="0.2">
      <c r="A35" s="26">
        <v>32</v>
      </c>
      <c r="B35" s="27" t="s">
        <v>73</v>
      </c>
      <c r="C35" s="26" t="s">
        <v>82</v>
      </c>
      <c r="D35" s="28" t="s">
        <v>192</v>
      </c>
      <c r="E35" s="26">
        <v>70</v>
      </c>
      <c r="F35" s="25"/>
    </row>
    <row r="36" spans="1:6" ht="15" customHeight="1" x14ac:dyDescent="0.2">
      <c r="A36" s="5">
        <v>33</v>
      </c>
      <c r="B36" s="23" t="s">
        <v>74</v>
      </c>
      <c r="C36" s="5" t="s">
        <v>87</v>
      </c>
      <c r="D36" s="24" t="s">
        <v>193</v>
      </c>
      <c r="E36" s="5">
        <v>1</v>
      </c>
      <c r="F36" s="25"/>
    </row>
    <row r="37" spans="1:6" ht="15" customHeight="1" x14ac:dyDescent="0.2">
      <c r="A37" s="26">
        <v>34</v>
      </c>
      <c r="B37" s="27" t="s">
        <v>75</v>
      </c>
      <c r="C37" s="26" t="s">
        <v>87</v>
      </c>
      <c r="D37" s="28" t="s">
        <v>192</v>
      </c>
      <c r="E37" s="26">
        <v>14</v>
      </c>
      <c r="F37" s="25"/>
    </row>
    <row r="38" spans="1:6" ht="15" customHeight="1" x14ac:dyDescent="0.2">
      <c r="A38" s="5">
        <v>35</v>
      </c>
      <c r="B38" s="23" t="s">
        <v>76</v>
      </c>
      <c r="C38" s="5" t="s">
        <v>87</v>
      </c>
      <c r="D38" s="24" t="s">
        <v>193</v>
      </c>
      <c r="E38" s="5">
        <v>32</v>
      </c>
      <c r="F38" s="25"/>
    </row>
    <row r="39" spans="1:6" ht="15" customHeight="1" x14ac:dyDescent="0.2">
      <c r="A39" s="26">
        <v>36</v>
      </c>
      <c r="B39" s="27" t="s">
        <v>78</v>
      </c>
      <c r="C39" s="26" t="s">
        <v>87</v>
      </c>
      <c r="D39" s="28" t="s">
        <v>191</v>
      </c>
      <c r="E39" s="26">
        <v>56</v>
      </c>
      <c r="F39" s="25"/>
    </row>
    <row r="40" spans="1:6" ht="15" customHeight="1" x14ac:dyDescent="0.2">
      <c r="A40" s="5">
        <v>37</v>
      </c>
      <c r="B40" s="23" t="s">
        <v>79</v>
      </c>
      <c r="C40" s="5" t="s">
        <v>92</v>
      </c>
      <c r="D40" s="24" t="s">
        <v>194</v>
      </c>
      <c r="E40" s="5">
        <v>3</v>
      </c>
      <c r="F40" s="25"/>
    </row>
    <row r="41" spans="1:6" ht="15" customHeight="1" x14ac:dyDescent="0.2">
      <c r="A41" s="26">
        <v>38</v>
      </c>
      <c r="B41" s="27" t="s">
        <v>80</v>
      </c>
      <c r="C41" s="26" t="s">
        <v>92</v>
      </c>
      <c r="D41" s="28" t="s">
        <v>192</v>
      </c>
      <c r="E41" s="26">
        <v>36</v>
      </c>
      <c r="F41" s="25"/>
    </row>
    <row r="42" spans="1:6" ht="15" customHeight="1" x14ac:dyDescent="0.2">
      <c r="A42" s="5">
        <v>39</v>
      </c>
      <c r="B42" s="23" t="s">
        <v>81</v>
      </c>
      <c r="C42" s="5" t="s">
        <v>92</v>
      </c>
      <c r="D42" s="24" t="s">
        <v>193</v>
      </c>
      <c r="E42" s="5">
        <v>24</v>
      </c>
      <c r="F42" s="25"/>
    </row>
    <row r="43" spans="1:6" ht="15" customHeight="1" x14ac:dyDescent="0.2">
      <c r="A43" s="26">
        <v>40</v>
      </c>
      <c r="B43" s="27" t="s">
        <v>83</v>
      </c>
      <c r="C43" s="26" t="s">
        <v>92</v>
      </c>
      <c r="D43" s="28" t="s">
        <v>191</v>
      </c>
      <c r="E43" s="26">
        <v>64</v>
      </c>
      <c r="F43" s="25"/>
    </row>
    <row r="44" spans="1:6" ht="15" customHeight="1" x14ac:dyDescent="0.2">
      <c r="A44" s="5">
        <v>41</v>
      </c>
      <c r="B44" s="23" t="s">
        <v>84</v>
      </c>
      <c r="C44" s="5" t="s">
        <v>94</v>
      </c>
      <c r="D44" s="24" t="s">
        <v>193</v>
      </c>
      <c r="E44" s="5">
        <v>5</v>
      </c>
      <c r="F44" s="25"/>
    </row>
    <row r="45" spans="1:6" ht="15" customHeight="1" x14ac:dyDescent="0.2">
      <c r="A45" s="26">
        <v>42</v>
      </c>
      <c r="B45" s="27" t="s">
        <v>85</v>
      </c>
      <c r="C45" s="26" t="s">
        <v>94</v>
      </c>
      <c r="D45" s="28" t="s">
        <v>194</v>
      </c>
      <c r="E45" s="26">
        <v>13</v>
      </c>
      <c r="F45" s="25"/>
    </row>
    <row r="46" spans="1:6" ht="15" customHeight="1" x14ac:dyDescent="0.2">
      <c r="A46" s="5">
        <v>43</v>
      </c>
      <c r="B46" s="23" t="s">
        <v>86</v>
      </c>
      <c r="C46" s="5" t="s">
        <v>94</v>
      </c>
      <c r="D46" s="24" t="s">
        <v>191</v>
      </c>
      <c r="E46" s="5">
        <v>57</v>
      </c>
      <c r="F46" s="25"/>
    </row>
    <row r="47" spans="1:6" ht="15" customHeight="1" x14ac:dyDescent="0.2">
      <c r="A47" s="26">
        <v>44</v>
      </c>
      <c r="B47" s="27" t="s">
        <v>88</v>
      </c>
      <c r="C47" s="26" t="s">
        <v>94</v>
      </c>
      <c r="D47" s="28" t="s">
        <v>192</v>
      </c>
      <c r="E47" s="26">
        <v>55</v>
      </c>
      <c r="F47" s="25"/>
    </row>
    <row r="48" spans="1:6" ht="15" customHeight="1" x14ac:dyDescent="0.2">
      <c r="A48" s="5">
        <v>45</v>
      </c>
      <c r="B48" s="23" t="s">
        <v>89</v>
      </c>
      <c r="C48" s="5" t="s">
        <v>95</v>
      </c>
      <c r="D48" s="24" t="s">
        <v>193</v>
      </c>
      <c r="E48" s="5">
        <v>4</v>
      </c>
      <c r="F48" s="25"/>
    </row>
    <row r="49" spans="1:6" ht="15" customHeight="1" x14ac:dyDescent="0.2">
      <c r="A49" s="26">
        <v>46</v>
      </c>
      <c r="B49" s="27" t="s">
        <v>90</v>
      </c>
      <c r="C49" s="26" t="s">
        <v>95</v>
      </c>
      <c r="D49" s="28" t="s">
        <v>193</v>
      </c>
      <c r="E49" s="26">
        <v>11</v>
      </c>
      <c r="F49" s="25"/>
    </row>
    <row r="50" spans="1:6" ht="15" customHeight="1" x14ac:dyDescent="0.2">
      <c r="A50" s="5">
        <v>47</v>
      </c>
      <c r="B50" s="23" t="s">
        <v>91</v>
      </c>
      <c r="C50" s="5" t="s">
        <v>95</v>
      </c>
      <c r="D50" s="24" t="s">
        <v>192</v>
      </c>
      <c r="E50" s="5">
        <v>73</v>
      </c>
      <c r="F50" s="25"/>
    </row>
    <row r="51" spans="1:6" ht="15" customHeight="1" x14ac:dyDescent="0.2">
      <c r="A51" s="26">
        <v>48</v>
      </c>
      <c r="B51" s="27" t="s">
        <v>93</v>
      </c>
      <c r="C51" s="26" t="s">
        <v>95</v>
      </c>
      <c r="D51" s="28" t="s">
        <v>195</v>
      </c>
      <c r="E51" s="26">
        <v>51</v>
      </c>
      <c r="F51" s="25"/>
    </row>
  </sheetData>
  <mergeCells count="2">
    <mergeCell ref="A2:F2"/>
    <mergeCell ref="A1:F1"/>
  </mergeCells>
  <dataValidations count="1">
    <dataValidation type="list" allowBlank="1" sqref="F4:F51" xr:uid="{00000000-0002-0000-0400-000000000000}">
      <formula1>"Poppa,Nana,Craig,Anna,Brooke,Lachlan,Sienna,Brent"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00dc3ec8-2b44-480f-851e-485198caee04}" enabled="1" method="Standard" siteId="{375b32d3-5156-4fee-bbeb-d80e209d37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Leaderboard</vt:lpstr>
      <vt:lpstr>Team Allocations</vt:lpstr>
      <vt:lpstr>Group Stage</vt:lpstr>
      <vt:lpstr>Knockout &amp; Winner</vt:lpstr>
      <vt:lpstr>Participating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Craig Candy</cp:lastModifiedBy>
  <cp:revision>0</cp:revision>
  <dcterms:created xsi:type="dcterms:W3CDTF">2026-06-11T03:41:34Z</dcterms:created>
  <dcterms:modified xsi:type="dcterms:W3CDTF">2026-06-28T07:25:04Z</dcterms:modified>
  <dc:language>en-US</dc:language>
</cp:coreProperties>
</file>